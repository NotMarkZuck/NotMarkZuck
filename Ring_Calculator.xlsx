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 Lookup" sheetId="1" state="visible" r:id="rId1"/>
    <sheet name="Inputs" sheetId="2" state="visible" r:id="rId2"/>
    <sheet name="All Rings" sheetId="3" state="visible" r:id="rId3"/>
    <sheet name="Spline Mat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00"/>
    <numFmt numFmtId="166" formatCode="0.000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</font>
    <font>
      <name val="Arial"/>
      <b val="1"/>
      <color rgb="000000FF"/>
      <sz val="14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3" borderId="1" pivotButton="0" quotePrefix="0" xfId="0"/>
    <xf numFmtId="0" fontId="2" fillId="2" borderId="0" pivotButton="0" quotePrefix="0" xfId="0"/>
    <xf numFmtId="0" fontId="3" fillId="0" borderId="0" pivotButton="0" quotePrefix="0" xfId="0"/>
    <xf numFmtId="166" fontId="2" fillId="0" borderId="1" pivotButton="0" quotePrefix="0" xfId="0"/>
    <xf numFmtId="0" fontId="2" fillId="0" borderId="1" pivotButton="0" quotePrefix="0" xfId="0"/>
    <xf numFmtId="2" fontId="2" fillId="0" borderId="1" pivotButton="0" quotePrefix="0" xfId="0"/>
    <xf numFmtId="164" fontId="2" fillId="0" borderId="1" pivotButton="0" quotePrefix="0" xfId="0"/>
    <xf numFmtId="0" fontId="5" fillId="0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2" fillId="2" borderId="0" applyAlignment="1" pivotButton="0" quotePrefix="0" xfId="0">
      <alignment vertical="top" wrapText="1"/>
    </xf>
    <xf numFmtId="0" fontId="4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166" fontId="3" fillId="0" borderId="1" pivotButton="0" quotePrefix="0" xfId="0"/>
    <xf numFmtId="2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Claude</author>
  </authors>
  <commentList>
    <comment ref="B10" authorId="0" shapeId="0">
      <text>
        <t>Optional. Put a Panel on the A+B that feeds the R input of the ring Arc in Grasshopper, take the largest number, and type it here. Every radius in this workbook then matches Grasshopper exactly.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78" customWidth="1" min="1" max="1"/>
    <col width="16" customWidth="1" min="2" max="2"/>
  </cols>
  <sheetData>
    <row r="1">
      <c r="A1" s="1" t="inlineStr">
        <is>
          <t>Ring Lookup</t>
        </is>
      </c>
    </row>
    <row r="3">
      <c r="A3" s="2" t="inlineStr">
        <is>
          <t>Type a ring number (1 = first ring at the start of the bridge, 44 = last):</t>
        </is>
      </c>
    </row>
    <row r="4">
      <c r="A4" s="2" t="inlineStr">
        <is>
          <t>RING NUMBER  &gt;&gt;</t>
        </is>
      </c>
      <c r="B4" s="3" t="n">
        <v>7</v>
      </c>
    </row>
    <row r="6">
      <c r="A6" s="4" t="inlineStr">
        <is>
          <t>Result</t>
        </is>
      </c>
      <c r="B6" s="4" t="inlineStr">
        <is>
          <t>Value</t>
        </is>
      </c>
    </row>
    <row r="7">
      <c r="A7" s="5" t="inlineStr">
        <is>
          <t>Radius (ft)</t>
        </is>
      </c>
      <c r="B7" s="6">
        <f>INDEX('All Rings'!$G$3:$G$46,$B$4)</f>
        <v/>
      </c>
    </row>
    <row r="8">
      <c r="A8" s="5" t="inlineStr">
        <is>
          <t>Radius (ft-in)</t>
        </is>
      </c>
      <c r="B8" s="7">
        <f>INDEX('All Rings'!$H$3:$H$46,$B$4)</f>
        <v/>
      </c>
    </row>
    <row r="9">
      <c r="A9" s="5" t="inlineStr">
        <is>
          <t>Rotation (deg)  - direction the gap faces; 90 = straight up, 180 = sideways</t>
        </is>
      </c>
      <c r="B9" s="8">
        <f>INDEX('All Rings'!$M$3:$M$46,$B$4)</f>
        <v/>
      </c>
    </row>
    <row r="10">
      <c r="A10" s="5" t="inlineStr">
        <is>
          <t>Arc opening (deg)  - size of the gap in the ring</t>
        </is>
      </c>
      <c r="B10" s="8">
        <f>INDEX('All Rings'!$Q$3:$Q$46,$B$4)</f>
        <v/>
      </c>
    </row>
    <row r="11">
      <c r="A11" s="5" t="inlineStr">
        <is>
          <t>Gap length along the arc (ft)</t>
        </is>
      </c>
      <c r="B11" s="8">
        <f>INDEX('All Rings'!$R$3:$R$46,$B$4)</f>
        <v/>
      </c>
    </row>
    <row r="12">
      <c r="A12" s="5" t="inlineStr">
        <is>
          <t>Ring arc angle (deg)  - the solid part of the ring</t>
        </is>
      </c>
      <c r="B12" s="8">
        <f>INDEX('All Rings'!$S$3:$S$46,$B$4)</f>
        <v/>
      </c>
    </row>
    <row r="13">
      <c r="A13" s="5" t="inlineStr">
        <is>
          <t>Ring arc length (ft)</t>
        </is>
      </c>
      <c r="B13" s="8">
        <f>INDEX('All Rings'!$T$3:$T$46,$B$4)</f>
        <v/>
      </c>
    </row>
    <row r="14">
      <c r="A14" s="5" t="inlineStr">
        <is>
          <t>Ring centre lift above the spine (ft)</t>
        </is>
      </c>
      <c r="B14" s="6">
        <f>INDEX('All Rings'!$I$3:$I$46,$B$4)</f>
        <v/>
      </c>
    </row>
    <row r="15">
      <c r="A15" s="5" t="inlineStr">
        <is>
          <t>Station: fraction of the way along the spine</t>
        </is>
      </c>
      <c r="B15" s="9">
        <f>INDEX('All Rings'!$D$3:$D$46,$B$4)</f>
        <v/>
      </c>
    </row>
    <row r="18">
      <c r="A18" s="5" t="inlineStr">
        <is>
          <t>How to use: change the yellow cell. Everything else is calculated.</t>
        </is>
      </c>
    </row>
    <row r="19">
      <c r="A19" s="10" t="inlineStr">
        <is>
          <t>Drawing a ring: circle of the radius above, centred on the spine at that station and lifted by the centre lift.</t>
        </is>
      </c>
    </row>
    <row r="20">
      <c r="A20" s="10" t="inlineStr">
        <is>
          <t>Remove a wedge of "arc opening" degrees centred on the rotation direction (90 = straight up). The arc runs from opening/2 to 360 - opening/2.</t>
        </is>
      </c>
    </row>
    <row r="21">
      <c r="A21" s="10" t="inlineStr">
        <is>
          <t>Radius note: Grasshopper's exact scaling of the bell curve height is unconfirmed. For exact radii, fill the yellow cell B10 on the Inputs sheet.</t>
        </is>
      </c>
    </row>
    <row r="22">
      <c r="A22" s="10" t="inlineStr">
        <is>
          <t>Rotation/opening: smooth curve through the 12 Gene Pool values. Spot-check one or two rings against Grasshopper Panels.</t>
        </is>
      </c>
    </row>
  </sheetData>
  <dataValidations count="1">
    <dataValidation sqref="B4" showDropDown="0" showInputMessage="0" showErrorMessage="1" allowBlank="0" errorTitle="Ring number" error="Enter a whole number from 1 to 44." type="whole" operator="between">
      <formula1>1</formula1>
      <formula2>44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70" customWidth="1" min="3" max="3"/>
    <col width="24" customWidth="1" min="4" max="4"/>
  </cols>
  <sheetData>
    <row r="1">
      <c r="A1" s="1" t="inlineStr">
        <is>
          <t>Inputs (values copied from the Grasshopper file 20261008_OPTION_A_SCRIPT_EQUAL_R_AT_ENDS.ghx)</t>
        </is>
      </c>
    </row>
    <row r="2">
      <c r="A2" s="4" t="inlineStr">
        <is>
          <t>Setting</t>
        </is>
      </c>
      <c r="B2" s="4" t="inlineStr">
        <is>
          <t>Value</t>
        </is>
      </c>
      <c r="C2" s="4" t="inlineStr">
        <is>
          <t>Where it comes from</t>
        </is>
      </c>
    </row>
    <row r="3">
      <c r="A3" s="5" t="inlineStr">
        <is>
          <t>RADIUS END (ft)</t>
        </is>
      </c>
      <c r="B3" s="11" t="n">
        <v>7.85</v>
      </c>
      <c r="C3" s="5" t="inlineStr">
        <is>
          <t>Slider RADIUS END</t>
        </is>
      </c>
    </row>
    <row r="4">
      <c r="A4" s="5" t="inlineStr">
        <is>
          <t>RADIUS MID (ft)</t>
        </is>
      </c>
      <c r="B4" s="11" t="n">
        <v>9.638999999999999</v>
      </c>
      <c r="C4" s="5" t="inlineStr">
        <is>
          <t>Slider RADIUS MID</t>
        </is>
      </c>
    </row>
    <row r="5">
      <c r="A5" s="5" t="inlineStr">
        <is>
          <t>FLAT RINGS</t>
        </is>
      </c>
      <c r="B5" s="11" t="n">
        <v>6</v>
      </c>
      <c r="C5" s="5" t="inlineStr">
        <is>
          <t>Slider FLAT RINGS: rings at each end held at RADIUS END</t>
        </is>
      </c>
    </row>
    <row r="6">
      <c r="A6" s="5" t="inlineStr">
        <is>
          <t>Number of rings</t>
        </is>
      </c>
      <c r="B6" s="11" t="n">
        <v>44</v>
      </c>
      <c r="C6" s="5" t="inlineStr">
        <is>
          <t>Fixed. Ring count formula in the script gives 43 steps = 44 rings</t>
        </is>
      </c>
    </row>
    <row r="7">
      <c r="A7" s="5" t="inlineStr">
        <is>
          <t>Bell curve centre (mean)</t>
        </is>
      </c>
      <c r="B7" s="11" t="n">
        <v>0.5002431273460388</v>
      </c>
      <c r="C7" s="5" t="inlineStr">
        <is>
          <t>Graph Mapper (Gaussian) setting stored in the file</t>
        </is>
      </c>
    </row>
    <row r="8">
      <c r="A8" s="5" t="inlineStr">
        <is>
          <t>Bell curve width (sdev)</t>
        </is>
      </c>
      <c r="B8" s="11" t="n">
        <v>0.1180279850959778</v>
      </c>
      <c r="C8" s="5" t="inlineStr">
        <is>
          <t>Graph Mapper (Gaussian) setting stored in the file</t>
        </is>
      </c>
    </row>
    <row r="9">
      <c r="A9" s="5" t="inlineStr">
        <is>
          <t>Bell curve height setting (factor)</t>
        </is>
      </c>
      <c r="B9" s="11" t="n">
        <v>0.4430766701698303</v>
      </c>
      <c r="C9" s="5" t="inlineStr">
        <is>
          <t>Graph Mapper setting. How Grasshopper scales this is unconfirmed - see B11</t>
        </is>
      </c>
    </row>
    <row r="10">
      <c r="A10" s="5" t="inlineStr">
        <is>
          <t>OPTIONAL: middle ring radius read from Grasshopper (ft)</t>
        </is>
      </c>
      <c r="B10" s="12" t="n"/>
      <c r="C10" s="5" t="inlineStr">
        <is>
          <t>Leave blank, or type the largest radius from a Panel on the A+B feeding the ring Arc R input. It calibrates the bell height exactly.</t>
        </is>
      </c>
    </row>
    <row r="11">
      <c r="A11" s="5" t="inlineStr">
        <is>
          <t>Bell height used</t>
        </is>
      </c>
      <c r="B11" s="5">
        <f>IF(B10="",B9,(B10-B3)/(B4-B3)/EXP(-((16/33-B7)^2)/(2*B8^2)))</f>
        <v/>
      </c>
      <c r="C11" s="5" t="inlineStr">
        <is>
          <t>Uses B9, or back-calculates from B10 (middle ring = ring 22, t = 16/33)</t>
        </is>
      </c>
    </row>
    <row r="12">
      <c r="A12" s="5" t="inlineStr">
        <is>
          <t>NEW CENTER OF CIRCLE FACTOR</t>
        </is>
      </c>
      <c r="B12" s="11" t="n">
        <v>0.6</v>
      </c>
      <c r="C12" s="5" t="inlineStr">
        <is>
          <t>Slider: ring centre lift = factor x (R - RADIUS END)</t>
        </is>
      </c>
    </row>
    <row r="13">
      <c r="A13" s="5" t="inlineStr">
        <is>
          <t>SPAN (ft)</t>
        </is>
      </c>
      <c r="B13" s="11" t="n">
        <v>236.5</v>
      </c>
      <c r="C13" s="5" t="inlineStr">
        <is>
          <t>Slider SPAN</t>
        </is>
      </c>
    </row>
    <row r="14">
      <c r="A14" s="5" t="inlineStr">
        <is>
          <t>PORTAL SPACING END (ft)</t>
        </is>
      </c>
      <c r="B14" s="11" t="n">
        <v>2</v>
      </c>
      <c r="C14" s="5" t="inlineStr">
        <is>
          <t>Slider</t>
        </is>
      </c>
    </row>
    <row r="15">
      <c r="A15" s="5" t="inlineStr">
        <is>
          <t>PORTAL SPACING MID (ft)</t>
        </is>
      </c>
      <c r="B15" s="11" t="n">
        <v>7.5</v>
      </c>
      <c r="C15" s="5" t="inlineStr">
        <is>
          <t>Slider</t>
        </is>
      </c>
    </row>
    <row r="17">
      <c r="A17" s="2" t="inlineStr">
        <is>
          <t>Gene Pool values (12 control points, evenly spaced along the bridge)</t>
        </is>
      </c>
    </row>
    <row r="18">
      <c r="A18" s="4" t="inlineStr">
        <is>
          <t>Control point</t>
        </is>
      </c>
      <c r="B18" s="4" t="inlineStr">
        <is>
          <t>Position (0 to 1)</t>
        </is>
      </c>
      <c r="C18" s="4" t="inlineStr">
        <is>
          <t>ROTATION gene (deg)</t>
        </is>
      </c>
      <c r="D18" s="4" t="inlineStr">
        <is>
          <t>ARC OPENING gene (deg)</t>
        </is>
      </c>
    </row>
    <row r="19">
      <c r="A19" s="5" t="n">
        <v>1</v>
      </c>
      <c r="B19" s="5">
        <f>0/11</f>
        <v/>
      </c>
      <c r="C19" s="11" t="n">
        <v>90</v>
      </c>
      <c r="D19" s="11" t="n">
        <v>123.3</v>
      </c>
    </row>
    <row r="20">
      <c r="A20" s="5" t="n">
        <v>2</v>
      </c>
      <c r="B20" s="5">
        <f>1/11</f>
        <v/>
      </c>
      <c r="C20" s="11" t="n">
        <v>90</v>
      </c>
      <c r="D20" s="11" t="n">
        <v>123.2</v>
      </c>
    </row>
    <row r="21">
      <c r="A21" s="5" t="n">
        <v>3</v>
      </c>
      <c r="B21" s="5">
        <f>2/11</f>
        <v/>
      </c>
      <c r="C21" s="11" t="n">
        <v>95.09999999999999</v>
      </c>
      <c r="D21" s="11" t="n">
        <v>123.1</v>
      </c>
    </row>
    <row r="22">
      <c r="A22" s="5" t="n">
        <v>4</v>
      </c>
      <c r="B22" s="5">
        <f>3/11</f>
        <v/>
      </c>
      <c r="C22" s="11" t="n">
        <v>111.2</v>
      </c>
      <c r="D22" s="11" t="n">
        <v>122.3</v>
      </c>
    </row>
    <row r="23">
      <c r="A23" s="5" t="n">
        <v>5</v>
      </c>
      <c r="B23" s="5">
        <f>4/11</f>
        <v/>
      </c>
      <c r="C23" s="11" t="n">
        <v>142.1</v>
      </c>
      <c r="D23" s="11" t="n">
        <v>117.4</v>
      </c>
    </row>
    <row r="24">
      <c r="A24" s="5" t="n">
        <v>6</v>
      </c>
      <c r="B24" s="5">
        <f>5/11</f>
        <v/>
      </c>
      <c r="C24" s="11" t="n">
        <v>180</v>
      </c>
      <c r="D24" s="11" t="n">
        <v>124</v>
      </c>
    </row>
    <row r="25">
      <c r="A25" s="5" t="n">
        <v>7</v>
      </c>
      <c r="B25" s="5">
        <f>6/11</f>
        <v/>
      </c>
      <c r="C25" s="11" t="n">
        <v>180</v>
      </c>
      <c r="D25" s="11" t="n">
        <v>124</v>
      </c>
    </row>
    <row r="26">
      <c r="A26" s="5" t="n">
        <v>8</v>
      </c>
      <c r="B26" s="5">
        <f>7/11</f>
        <v/>
      </c>
      <c r="C26" s="11" t="n">
        <v>142.1</v>
      </c>
      <c r="D26" s="11" t="n">
        <v>117.4</v>
      </c>
    </row>
    <row r="27">
      <c r="A27" s="5" t="n">
        <v>9</v>
      </c>
      <c r="B27" s="5">
        <f>8/11</f>
        <v/>
      </c>
      <c r="C27" s="11" t="n">
        <v>111.2</v>
      </c>
      <c r="D27" s="11" t="n">
        <v>122.3</v>
      </c>
    </row>
    <row r="28">
      <c r="A28" s="5" t="n">
        <v>10</v>
      </c>
      <c r="B28" s="5">
        <f>9/11</f>
        <v/>
      </c>
      <c r="C28" s="11" t="n">
        <v>95.09999999999999</v>
      </c>
      <c r="D28" s="11" t="n">
        <v>123.1</v>
      </c>
    </row>
    <row r="29">
      <c r="A29" s="5" t="n">
        <v>11</v>
      </c>
      <c r="B29" s="5">
        <f>10/11</f>
        <v/>
      </c>
      <c r="C29" s="11" t="n">
        <v>90</v>
      </c>
      <c r="D29" s="11" t="n">
        <v>123.2</v>
      </c>
    </row>
    <row r="30">
      <c r="A30" s="5" t="n">
        <v>12</v>
      </c>
      <c r="B30" s="5">
        <f>11/11</f>
        <v/>
      </c>
      <c r="C30" s="11" t="n">
        <v>90</v>
      </c>
      <c r="D30" s="11" t="n">
        <v>123.3</v>
      </c>
    </row>
    <row r="32">
      <c r="A32" s="10" t="inlineStr">
        <is>
          <t>Blue = values from the Grasshopper file (edit if the sliders/gene pools change). Black = formulas. Yellow = optional input.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9" customWidth="1" min="2" max="2"/>
    <col width="9" customWidth="1" min="3" max="3"/>
    <col width="14" customWidth="1" min="4" max="4"/>
    <col width="12" customWidth="1" min="5" max="5"/>
    <col width="10" customWidth="1" min="6" max="6"/>
    <col width="11" customWidth="1" min="7" max="7"/>
    <col width="13" customWidth="1" min="8" max="8"/>
    <col width="10" customWidth="1" min="9" max="9"/>
    <col width="7" customWidth="1" min="10" max="10"/>
    <col width="8" customWidth="1" min="11" max="11"/>
    <col width="8" customWidth="1" min="12" max="12"/>
    <col width="12" customWidth="1" min="13" max="13"/>
    <col width="8" customWidth="1" min="14" max="14"/>
    <col width="8" customWidth="1" min="15" max="15"/>
    <col width="8" customWidth="1" min="16" max="16"/>
    <col width="13" customWidth="1" min="17" max="17"/>
    <col width="13" customWidth="1" min="18" max="18"/>
    <col width="12" customWidth="1" min="19" max="19"/>
    <col width="12" customWidth="1" min="20" max="20"/>
  </cols>
  <sheetData>
    <row r="1">
      <c r="A1" s="1" t="inlineStr">
        <is>
          <t>Every ring (formulas - recalculates from the Inputs sheet)</t>
        </is>
      </c>
    </row>
    <row r="2" ht="45" customHeight="1">
      <c r="A2" s="13" t="inlineStr">
        <is>
          <t>Ring #</t>
        </is>
      </c>
      <c r="B2" s="13" t="inlineStr">
        <is>
          <t>Script index i</t>
        </is>
      </c>
      <c r="C2" s="13" t="inlineStr">
        <is>
          <t>x = i/43</t>
        </is>
      </c>
      <c r="D2" s="13" t="inlineStr">
        <is>
          <t>Station (fraction of spine length)</t>
        </is>
      </c>
      <c r="E2" s="13" t="inlineStr">
        <is>
          <t>t (flat-end clamp)</t>
        </is>
      </c>
      <c r="F2" s="13" t="inlineStr">
        <is>
          <t>Bell G(t)</t>
        </is>
      </c>
      <c r="G2" s="13" t="inlineStr">
        <is>
          <t>RADIUS (ft)</t>
        </is>
      </c>
      <c r="H2" s="13" t="inlineStr">
        <is>
          <t>RADIUS (ft-in)</t>
        </is>
      </c>
      <c r="I2" s="13" t="inlineStr">
        <is>
          <t>Centre lift (ft)</t>
        </is>
      </c>
      <c r="J2" s="13" t="inlineStr">
        <is>
          <t>rot seg</t>
        </is>
      </c>
      <c r="K2" s="13" t="inlineStr">
        <is>
          <t>rot a</t>
        </is>
      </c>
      <c r="L2" s="13" t="inlineStr">
        <is>
          <t>rot b</t>
        </is>
      </c>
      <c r="M2" s="13" t="inlineStr">
        <is>
          <t>ROTATION (deg)</t>
        </is>
      </c>
      <c r="N2" s="13" t="inlineStr">
        <is>
          <t>open seg</t>
        </is>
      </c>
      <c r="O2" s="13" t="inlineStr">
        <is>
          <t>open a</t>
        </is>
      </c>
      <c r="P2" s="13" t="inlineStr">
        <is>
          <t>open b</t>
        </is>
      </c>
      <c r="Q2" s="13" t="inlineStr">
        <is>
          <t>ARC OPENING gap (deg)</t>
        </is>
      </c>
      <c r="R2" s="13" t="inlineStr">
        <is>
          <t>Gap length along arc (ft)</t>
        </is>
      </c>
      <c r="S2" s="13" t="inlineStr">
        <is>
          <t>Ring arc angle (deg)</t>
        </is>
      </c>
      <c r="T2" s="13" t="inlineStr">
        <is>
          <t>Ring arc length (ft)</t>
        </is>
      </c>
    </row>
    <row r="3">
      <c r="A3" s="14" t="n">
        <v>1</v>
      </c>
      <c r="B3" s="15">
        <f>A3-1</f>
        <v/>
      </c>
      <c r="C3" s="16">
        <f>B3/(Inputs!$B$6-1)</f>
        <v/>
      </c>
      <c r="D3" s="16">
        <f>(Inputs!$B$14*C3+((Inputs!$B$15-Inputs!$B$14)/PI())*(1-COS(PI()*C3)))/(Inputs!$B$14+2*(Inputs!$B$15-Inputs!$B$14)/PI())</f>
        <v/>
      </c>
      <c r="E3" s="16">
        <f>MIN(MAX((C3-(Inputs!$B$5-1)/(Inputs!$B$6-1))/(1-2*(Inputs!$B$5-1)/(Inputs!$B$6-1)),0),1)</f>
        <v/>
      </c>
      <c r="F3" s="17">
        <f>Inputs!$B$11*EXP(-((E3-Inputs!$B$7)^2)/(2*Inputs!$B$8^2))</f>
        <v/>
      </c>
      <c r="G3" s="18">
        <f>Inputs!$B$3+(Inputs!$B$4-Inputs!$B$3)*F3</f>
        <v/>
      </c>
      <c r="H3" s="15">
        <f>INT(G3)&amp;"'-"&amp;TEXT((G3-INT(G3))*12,"0.00")&amp;""""</f>
        <v/>
      </c>
      <c r="I3" s="18">
        <f>Inputs!$B$12*(G3-Inputs!$B$3)</f>
        <v/>
      </c>
      <c r="J3" s="15">
        <f>MIN(INT(E3*11),10)</f>
        <v/>
      </c>
      <c r="K3" s="16">
        <f>(J3+1)/11-E3</f>
        <v/>
      </c>
      <c r="L3" s="16">
        <f>E3-J3/11</f>
        <v/>
      </c>
      <c r="M3" s="19">
        <f>INDEX('Spline Math'!$O$2:$O$13,J3+1)*K3^3/(6*(1/11))+INDEX('Spline Math'!$O$2:$O$13,J3+2)*L3^3/(6*(1/11))+(INDEX(Inputs!$C$19:$C$30,J3+1)-INDEX('Spline Math'!$O$2:$O$13,J3+1)*(1/11)^2/6)*K3/(1/11)+(INDEX(Inputs!$C$19:$C$30,J3+2)-INDEX('Spline Math'!$O$2:$O$13,J3+2)*(1/11)^2/6)*L3/(1/11)</f>
        <v/>
      </c>
      <c r="N3" s="15">
        <f>MIN(INT(C3*11),10)</f>
        <v/>
      </c>
      <c r="O3" s="16">
        <f>(N3+1)/11-C3</f>
        <v/>
      </c>
      <c r="P3" s="16">
        <f>C3-N3/11</f>
        <v/>
      </c>
      <c r="Q3" s="19">
        <f>INDEX('Spline Math'!$S$2:$S$13,N3+1)*O3^3/(6*(1/11))+INDEX('Spline Math'!$S$2:$S$13,N3+2)*P3^3/(6*(1/11))+(INDEX(Inputs!$D$19:$D$30,N3+1)-INDEX('Spline Math'!$S$2:$S$13,N3+1)*(1/11)^2/6)*O3/(1/11)+(INDEX(Inputs!$D$19:$D$30,N3+2)-INDEX('Spline Math'!$S$2:$S$13,N3+2)*(1/11)^2/6)*P3/(1/11)</f>
        <v/>
      </c>
      <c r="R3" s="19">
        <f>G3*RADIANS(Q3)</f>
        <v/>
      </c>
      <c r="S3" s="19">
        <f>360-Q3</f>
        <v/>
      </c>
      <c r="T3" s="19">
        <f>G3*RADIANS(S3)</f>
        <v/>
      </c>
    </row>
    <row r="4">
      <c r="A4" s="14" t="n">
        <v>2</v>
      </c>
      <c r="B4" s="15">
        <f>A4-1</f>
        <v/>
      </c>
      <c r="C4" s="16">
        <f>B4/(Inputs!$B$6-1)</f>
        <v/>
      </c>
      <c r="D4" s="16">
        <f>(Inputs!$B$14*C4+((Inputs!$B$15-Inputs!$B$14)/PI())*(1-COS(PI()*C4)))/(Inputs!$B$14+2*(Inputs!$B$15-Inputs!$B$14)/PI())</f>
        <v/>
      </c>
      <c r="E4" s="16">
        <f>MIN(MAX((C4-(Inputs!$B$5-1)/(Inputs!$B$6-1))/(1-2*(Inputs!$B$5-1)/(Inputs!$B$6-1)),0),1)</f>
        <v/>
      </c>
      <c r="F4" s="17">
        <f>Inputs!$B$11*EXP(-((E4-Inputs!$B$7)^2)/(2*Inputs!$B$8^2))</f>
        <v/>
      </c>
      <c r="G4" s="18">
        <f>Inputs!$B$3+(Inputs!$B$4-Inputs!$B$3)*F4</f>
        <v/>
      </c>
      <c r="H4" s="15">
        <f>INT(G4)&amp;"'-"&amp;TEXT((G4-INT(G4))*12,"0.00")&amp;""""</f>
        <v/>
      </c>
      <c r="I4" s="18">
        <f>Inputs!$B$12*(G4-Inputs!$B$3)</f>
        <v/>
      </c>
      <c r="J4" s="15">
        <f>MIN(INT(E4*11),10)</f>
        <v/>
      </c>
      <c r="K4" s="16">
        <f>(J4+1)/11-E4</f>
        <v/>
      </c>
      <c r="L4" s="16">
        <f>E4-J4/11</f>
        <v/>
      </c>
      <c r="M4" s="19">
        <f>INDEX('Spline Math'!$O$2:$O$13,J4+1)*K4^3/(6*(1/11))+INDEX('Spline Math'!$O$2:$O$13,J4+2)*L4^3/(6*(1/11))+(INDEX(Inputs!$C$19:$C$30,J4+1)-INDEX('Spline Math'!$O$2:$O$13,J4+1)*(1/11)^2/6)*K4/(1/11)+(INDEX(Inputs!$C$19:$C$30,J4+2)-INDEX('Spline Math'!$O$2:$O$13,J4+2)*(1/11)^2/6)*L4/(1/11)</f>
        <v/>
      </c>
      <c r="N4" s="15">
        <f>MIN(INT(C4*11),10)</f>
        <v/>
      </c>
      <c r="O4" s="16">
        <f>(N4+1)/11-C4</f>
        <v/>
      </c>
      <c r="P4" s="16">
        <f>C4-N4/11</f>
        <v/>
      </c>
      <c r="Q4" s="19">
        <f>INDEX('Spline Math'!$S$2:$S$13,N4+1)*O4^3/(6*(1/11))+INDEX('Spline Math'!$S$2:$S$13,N4+2)*P4^3/(6*(1/11))+(INDEX(Inputs!$D$19:$D$30,N4+1)-INDEX('Spline Math'!$S$2:$S$13,N4+1)*(1/11)^2/6)*O4/(1/11)+(INDEX(Inputs!$D$19:$D$30,N4+2)-INDEX('Spline Math'!$S$2:$S$13,N4+2)*(1/11)^2/6)*P4/(1/11)</f>
        <v/>
      </c>
      <c r="R4" s="19">
        <f>G4*RADIANS(Q4)</f>
        <v/>
      </c>
      <c r="S4" s="19">
        <f>360-Q4</f>
        <v/>
      </c>
      <c r="T4" s="19">
        <f>G4*RADIANS(S4)</f>
        <v/>
      </c>
    </row>
    <row r="5">
      <c r="A5" s="14" t="n">
        <v>3</v>
      </c>
      <c r="B5" s="15">
        <f>A5-1</f>
        <v/>
      </c>
      <c r="C5" s="16">
        <f>B5/(Inputs!$B$6-1)</f>
        <v/>
      </c>
      <c r="D5" s="16">
        <f>(Inputs!$B$14*C5+((Inputs!$B$15-Inputs!$B$14)/PI())*(1-COS(PI()*C5)))/(Inputs!$B$14+2*(Inputs!$B$15-Inputs!$B$14)/PI())</f>
        <v/>
      </c>
      <c r="E5" s="16">
        <f>MIN(MAX((C5-(Inputs!$B$5-1)/(Inputs!$B$6-1))/(1-2*(Inputs!$B$5-1)/(Inputs!$B$6-1)),0),1)</f>
        <v/>
      </c>
      <c r="F5" s="17">
        <f>Inputs!$B$11*EXP(-((E5-Inputs!$B$7)^2)/(2*Inputs!$B$8^2))</f>
        <v/>
      </c>
      <c r="G5" s="18">
        <f>Inputs!$B$3+(Inputs!$B$4-Inputs!$B$3)*F5</f>
        <v/>
      </c>
      <c r="H5" s="15">
        <f>INT(G5)&amp;"'-"&amp;TEXT((G5-INT(G5))*12,"0.00")&amp;""""</f>
        <v/>
      </c>
      <c r="I5" s="18">
        <f>Inputs!$B$12*(G5-Inputs!$B$3)</f>
        <v/>
      </c>
      <c r="J5" s="15">
        <f>MIN(INT(E5*11),10)</f>
        <v/>
      </c>
      <c r="K5" s="16">
        <f>(J5+1)/11-E5</f>
        <v/>
      </c>
      <c r="L5" s="16">
        <f>E5-J5/11</f>
        <v/>
      </c>
      <c r="M5" s="19">
        <f>INDEX('Spline Math'!$O$2:$O$13,J5+1)*K5^3/(6*(1/11))+INDEX('Spline Math'!$O$2:$O$13,J5+2)*L5^3/(6*(1/11))+(INDEX(Inputs!$C$19:$C$30,J5+1)-INDEX('Spline Math'!$O$2:$O$13,J5+1)*(1/11)^2/6)*K5/(1/11)+(INDEX(Inputs!$C$19:$C$30,J5+2)-INDEX('Spline Math'!$O$2:$O$13,J5+2)*(1/11)^2/6)*L5/(1/11)</f>
        <v/>
      </c>
      <c r="N5" s="15">
        <f>MIN(INT(C5*11),10)</f>
        <v/>
      </c>
      <c r="O5" s="16">
        <f>(N5+1)/11-C5</f>
        <v/>
      </c>
      <c r="P5" s="16">
        <f>C5-N5/11</f>
        <v/>
      </c>
      <c r="Q5" s="19">
        <f>INDEX('Spline Math'!$S$2:$S$13,N5+1)*O5^3/(6*(1/11))+INDEX('Spline Math'!$S$2:$S$13,N5+2)*P5^3/(6*(1/11))+(INDEX(Inputs!$D$19:$D$30,N5+1)-INDEX('Spline Math'!$S$2:$S$13,N5+1)*(1/11)^2/6)*O5/(1/11)+(INDEX(Inputs!$D$19:$D$30,N5+2)-INDEX('Spline Math'!$S$2:$S$13,N5+2)*(1/11)^2/6)*P5/(1/11)</f>
        <v/>
      </c>
      <c r="R5" s="19">
        <f>G5*RADIANS(Q5)</f>
        <v/>
      </c>
      <c r="S5" s="19">
        <f>360-Q5</f>
        <v/>
      </c>
      <c r="T5" s="19">
        <f>G5*RADIANS(S5)</f>
        <v/>
      </c>
    </row>
    <row r="6">
      <c r="A6" s="14" t="n">
        <v>4</v>
      </c>
      <c r="B6" s="15">
        <f>A6-1</f>
        <v/>
      </c>
      <c r="C6" s="16">
        <f>B6/(Inputs!$B$6-1)</f>
        <v/>
      </c>
      <c r="D6" s="16">
        <f>(Inputs!$B$14*C6+((Inputs!$B$15-Inputs!$B$14)/PI())*(1-COS(PI()*C6)))/(Inputs!$B$14+2*(Inputs!$B$15-Inputs!$B$14)/PI())</f>
        <v/>
      </c>
      <c r="E6" s="16">
        <f>MIN(MAX((C6-(Inputs!$B$5-1)/(Inputs!$B$6-1))/(1-2*(Inputs!$B$5-1)/(Inputs!$B$6-1)),0),1)</f>
        <v/>
      </c>
      <c r="F6" s="17">
        <f>Inputs!$B$11*EXP(-((E6-Inputs!$B$7)^2)/(2*Inputs!$B$8^2))</f>
        <v/>
      </c>
      <c r="G6" s="18">
        <f>Inputs!$B$3+(Inputs!$B$4-Inputs!$B$3)*F6</f>
        <v/>
      </c>
      <c r="H6" s="15">
        <f>INT(G6)&amp;"'-"&amp;TEXT((G6-INT(G6))*12,"0.00")&amp;""""</f>
        <v/>
      </c>
      <c r="I6" s="18">
        <f>Inputs!$B$12*(G6-Inputs!$B$3)</f>
        <v/>
      </c>
      <c r="J6" s="15">
        <f>MIN(INT(E6*11),10)</f>
        <v/>
      </c>
      <c r="K6" s="16">
        <f>(J6+1)/11-E6</f>
        <v/>
      </c>
      <c r="L6" s="16">
        <f>E6-J6/11</f>
        <v/>
      </c>
      <c r="M6" s="19">
        <f>INDEX('Spline Math'!$O$2:$O$13,J6+1)*K6^3/(6*(1/11))+INDEX('Spline Math'!$O$2:$O$13,J6+2)*L6^3/(6*(1/11))+(INDEX(Inputs!$C$19:$C$30,J6+1)-INDEX('Spline Math'!$O$2:$O$13,J6+1)*(1/11)^2/6)*K6/(1/11)+(INDEX(Inputs!$C$19:$C$30,J6+2)-INDEX('Spline Math'!$O$2:$O$13,J6+2)*(1/11)^2/6)*L6/(1/11)</f>
        <v/>
      </c>
      <c r="N6" s="15">
        <f>MIN(INT(C6*11),10)</f>
        <v/>
      </c>
      <c r="O6" s="16">
        <f>(N6+1)/11-C6</f>
        <v/>
      </c>
      <c r="P6" s="16">
        <f>C6-N6/11</f>
        <v/>
      </c>
      <c r="Q6" s="19">
        <f>INDEX('Spline Math'!$S$2:$S$13,N6+1)*O6^3/(6*(1/11))+INDEX('Spline Math'!$S$2:$S$13,N6+2)*P6^3/(6*(1/11))+(INDEX(Inputs!$D$19:$D$30,N6+1)-INDEX('Spline Math'!$S$2:$S$13,N6+1)*(1/11)^2/6)*O6/(1/11)+(INDEX(Inputs!$D$19:$D$30,N6+2)-INDEX('Spline Math'!$S$2:$S$13,N6+2)*(1/11)^2/6)*P6/(1/11)</f>
        <v/>
      </c>
      <c r="R6" s="19">
        <f>G6*RADIANS(Q6)</f>
        <v/>
      </c>
      <c r="S6" s="19">
        <f>360-Q6</f>
        <v/>
      </c>
      <c r="T6" s="19">
        <f>G6*RADIANS(S6)</f>
        <v/>
      </c>
    </row>
    <row r="7">
      <c r="A7" s="14" t="n">
        <v>5</v>
      </c>
      <c r="B7" s="15">
        <f>A7-1</f>
        <v/>
      </c>
      <c r="C7" s="16">
        <f>B7/(Inputs!$B$6-1)</f>
        <v/>
      </c>
      <c r="D7" s="16">
        <f>(Inputs!$B$14*C7+((Inputs!$B$15-Inputs!$B$14)/PI())*(1-COS(PI()*C7)))/(Inputs!$B$14+2*(Inputs!$B$15-Inputs!$B$14)/PI())</f>
        <v/>
      </c>
      <c r="E7" s="16">
        <f>MIN(MAX((C7-(Inputs!$B$5-1)/(Inputs!$B$6-1))/(1-2*(Inputs!$B$5-1)/(Inputs!$B$6-1)),0),1)</f>
        <v/>
      </c>
      <c r="F7" s="17">
        <f>Inputs!$B$11*EXP(-((E7-Inputs!$B$7)^2)/(2*Inputs!$B$8^2))</f>
        <v/>
      </c>
      <c r="G7" s="18">
        <f>Inputs!$B$3+(Inputs!$B$4-Inputs!$B$3)*F7</f>
        <v/>
      </c>
      <c r="H7" s="15">
        <f>INT(G7)&amp;"'-"&amp;TEXT((G7-INT(G7))*12,"0.00")&amp;""""</f>
        <v/>
      </c>
      <c r="I7" s="18">
        <f>Inputs!$B$12*(G7-Inputs!$B$3)</f>
        <v/>
      </c>
      <c r="J7" s="15">
        <f>MIN(INT(E7*11),10)</f>
        <v/>
      </c>
      <c r="K7" s="16">
        <f>(J7+1)/11-E7</f>
        <v/>
      </c>
      <c r="L7" s="16">
        <f>E7-J7/11</f>
        <v/>
      </c>
      <c r="M7" s="19">
        <f>INDEX('Spline Math'!$O$2:$O$13,J7+1)*K7^3/(6*(1/11))+INDEX('Spline Math'!$O$2:$O$13,J7+2)*L7^3/(6*(1/11))+(INDEX(Inputs!$C$19:$C$30,J7+1)-INDEX('Spline Math'!$O$2:$O$13,J7+1)*(1/11)^2/6)*K7/(1/11)+(INDEX(Inputs!$C$19:$C$30,J7+2)-INDEX('Spline Math'!$O$2:$O$13,J7+2)*(1/11)^2/6)*L7/(1/11)</f>
        <v/>
      </c>
      <c r="N7" s="15">
        <f>MIN(INT(C7*11),10)</f>
        <v/>
      </c>
      <c r="O7" s="16">
        <f>(N7+1)/11-C7</f>
        <v/>
      </c>
      <c r="P7" s="16">
        <f>C7-N7/11</f>
        <v/>
      </c>
      <c r="Q7" s="19">
        <f>INDEX('Spline Math'!$S$2:$S$13,N7+1)*O7^3/(6*(1/11))+INDEX('Spline Math'!$S$2:$S$13,N7+2)*P7^3/(6*(1/11))+(INDEX(Inputs!$D$19:$D$30,N7+1)-INDEX('Spline Math'!$S$2:$S$13,N7+1)*(1/11)^2/6)*O7/(1/11)+(INDEX(Inputs!$D$19:$D$30,N7+2)-INDEX('Spline Math'!$S$2:$S$13,N7+2)*(1/11)^2/6)*P7/(1/11)</f>
        <v/>
      </c>
      <c r="R7" s="19">
        <f>G7*RADIANS(Q7)</f>
        <v/>
      </c>
      <c r="S7" s="19">
        <f>360-Q7</f>
        <v/>
      </c>
      <c r="T7" s="19">
        <f>G7*RADIANS(S7)</f>
        <v/>
      </c>
    </row>
    <row r="8">
      <c r="A8" s="14" t="n">
        <v>6</v>
      </c>
      <c r="B8" s="15">
        <f>A8-1</f>
        <v/>
      </c>
      <c r="C8" s="16">
        <f>B8/(Inputs!$B$6-1)</f>
        <v/>
      </c>
      <c r="D8" s="16">
        <f>(Inputs!$B$14*C8+((Inputs!$B$15-Inputs!$B$14)/PI())*(1-COS(PI()*C8)))/(Inputs!$B$14+2*(Inputs!$B$15-Inputs!$B$14)/PI())</f>
        <v/>
      </c>
      <c r="E8" s="16">
        <f>MIN(MAX((C8-(Inputs!$B$5-1)/(Inputs!$B$6-1))/(1-2*(Inputs!$B$5-1)/(Inputs!$B$6-1)),0),1)</f>
        <v/>
      </c>
      <c r="F8" s="17">
        <f>Inputs!$B$11*EXP(-((E8-Inputs!$B$7)^2)/(2*Inputs!$B$8^2))</f>
        <v/>
      </c>
      <c r="G8" s="18">
        <f>Inputs!$B$3+(Inputs!$B$4-Inputs!$B$3)*F8</f>
        <v/>
      </c>
      <c r="H8" s="15">
        <f>INT(G8)&amp;"'-"&amp;TEXT((G8-INT(G8))*12,"0.00")&amp;""""</f>
        <v/>
      </c>
      <c r="I8" s="18">
        <f>Inputs!$B$12*(G8-Inputs!$B$3)</f>
        <v/>
      </c>
      <c r="J8" s="15">
        <f>MIN(INT(E8*11),10)</f>
        <v/>
      </c>
      <c r="K8" s="16">
        <f>(J8+1)/11-E8</f>
        <v/>
      </c>
      <c r="L8" s="16">
        <f>E8-J8/11</f>
        <v/>
      </c>
      <c r="M8" s="19">
        <f>INDEX('Spline Math'!$O$2:$O$13,J8+1)*K8^3/(6*(1/11))+INDEX('Spline Math'!$O$2:$O$13,J8+2)*L8^3/(6*(1/11))+(INDEX(Inputs!$C$19:$C$30,J8+1)-INDEX('Spline Math'!$O$2:$O$13,J8+1)*(1/11)^2/6)*K8/(1/11)+(INDEX(Inputs!$C$19:$C$30,J8+2)-INDEX('Spline Math'!$O$2:$O$13,J8+2)*(1/11)^2/6)*L8/(1/11)</f>
        <v/>
      </c>
      <c r="N8" s="15">
        <f>MIN(INT(C8*11),10)</f>
        <v/>
      </c>
      <c r="O8" s="16">
        <f>(N8+1)/11-C8</f>
        <v/>
      </c>
      <c r="P8" s="16">
        <f>C8-N8/11</f>
        <v/>
      </c>
      <c r="Q8" s="19">
        <f>INDEX('Spline Math'!$S$2:$S$13,N8+1)*O8^3/(6*(1/11))+INDEX('Spline Math'!$S$2:$S$13,N8+2)*P8^3/(6*(1/11))+(INDEX(Inputs!$D$19:$D$30,N8+1)-INDEX('Spline Math'!$S$2:$S$13,N8+1)*(1/11)^2/6)*O8/(1/11)+(INDEX(Inputs!$D$19:$D$30,N8+2)-INDEX('Spline Math'!$S$2:$S$13,N8+2)*(1/11)^2/6)*P8/(1/11)</f>
        <v/>
      </c>
      <c r="R8" s="19">
        <f>G8*RADIANS(Q8)</f>
        <v/>
      </c>
      <c r="S8" s="19">
        <f>360-Q8</f>
        <v/>
      </c>
      <c r="T8" s="19">
        <f>G8*RADIANS(S8)</f>
        <v/>
      </c>
    </row>
    <row r="9">
      <c r="A9" s="14" t="n">
        <v>7</v>
      </c>
      <c r="B9" s="15">
        <f>A9-1</f>
        <v/>
      </c>
      <c r="C9" s="16">
        <f>B9/(Inputs!$B$6-1)</f>
        <v/>
      </c>
      <c r="D9" s="16">
        <f>(Inputs!$B$14*C9+((Inputs!$B$15-Inputs!$B$14)/PI())*(1-COS(PI()*C9)))/(Inputs!$B$14+2*(Inputs!$B$15-Inputs!$B$14)/PI())</f>
        <v/>
      </c>
      <c r="E9" s="16">
        <f>MIN(MAX((C9-(Inputs!$B$5-1)/(Inputs!$B$6-1))/(1-2*(Inputs!$B$5-1)/(Inputs!$B$6-1)),0),1)</f>
        <v/>
      </c>
      <c r="F9" s="17">
        <f>Inputs!$B$11*EXP(-((E9-Inputs!$B$7)^2)/(2*Inputs!$B$8^2))</f>
        <v/>
      </c>
      <c r="G9" s="18">
        <f>Inputs!$B$3+(Inputs!$B$4-Inputs!$B$3)*F9</f>
        <v/>
      </c>
      <c r="H9" s="15">
        <f>INT(G9)&amp;"'-"&amp;TEXT((G9-INT(G9))*12,"0.00")&amp;""""</f>
        <v/>
      </c>
      <c r="I9" s="18">
        <f>Inputs!$B$12*(G9-Inputs!$B$3)</f>
        <v/>
      </c>
      <c r="J9" s="15">
        <f>MIN(INT(E9*11),10)</f>
        <v/>
      </c>
      <c r="K9" s="16">
        <f>(J9+1)/11-E9</f>
        <v/>
      </c>
      <c r="L9" s="16">
        <f>E9-J9/11</f>
        <v/>
      </c>
      <c r="M9" s="19">
        <f>INDEX('Spline Math'!$O$2:$O$13,J9+1)*K9^3/(6*(1/11))+INDEX('Spline Math'!$O$2:$O$13,J9+2)*L9^3/(6*(1/11))+(INDEX(Inputs!$C$19:$C$30,J9+1)-INDEX('Spline Math'!$O$2:$O$13,J9+1)*(1/11)^2/6)*K9/(1/11)+(INDEX(Inputs!$C$19:$C$30,J9+2)-INDEX('Spline Math'!$O$2:$O$13,J9+2)*(1/11)^2/6)*L9/(1/11)</f>
        <v/>
      </c>
      <c r="N9" s="15">
        <f>MIN(INT(C9*11),10)</f>
        <v/>
      </c>
      <c r="O9" s="16">
        <f>(N9+1)/11-C9</f>
        <v/>
      </c>
      <c r="P9" s="16">
        <f>C9-N9/11</f>
        <v/>
      </c>
      <c r="Q9" s="19">
        <f>INDEX('Spline Math'!$S$2:$S$13,N9+1)*O9^3/(6*(1/11))+INDEX('Spline Math'!$S$2:$S$13,N9+2)*P9^3/(6*(1/11))+(INDEX(Inputs!$D$19:$D$30,N9+1)-INDEX('Spline Math'!$S$2:$S$13,N9+1)*(1/11)^2/6)*O9/(1/11)+(INDEX(Inputs!$D$19:$D$30,N9+2)-INDEX('Spline Math'!$S$2:$S$13,N9+2)*(1/11)^2/6)*P9/(1/11)</f>
        <v/>
      </c>
      <c r="R9" s="19">
        <f>G9*RADIANS(Q9)</f>
        <v/>
      </c>
      <c r="S9" s="19">
        <f>360-Q9</f>
        <v/>
      </c>
      <c r="T9" s="19">
        <f>G9*RADIANS(S9)</f>
        <v/>
      </c>
    </row>
    <row r="10">
      <c r="A10" s="14" t="n">
        <v>8</v>
      </c>
      <c r="B10" s="15">
        <f>A10-1</f>
        <v/>
      </c>
      <c r="C10" s="16">
        <f>B10/(Inputs!$B$6-1)</f>
        <v/>
      </c>
      <c r="D10" s="16">
        <f>(Inputs!$B$14*C10+((Inputs!$B$15-Inputs!$B$14)/PI())*(1-COS(PI()*C10)))/(Inputs!$B$14+2*(Inputs!$B$15-Inputs!$B$14)/PI())</f>
        <v/>
      </c>
      <c r="E10" s="16">
        <f>MIN(MAX((C10-(Inputs!$B$5-1)/(Inputs!$B$6-1))/(1-2*(Inputs!$B$5-1)/(Inputs!$B$6-1)),0),1)</f>
        <v/>
      </c>
      <c r="F10" s="17">
        <f>Inputs!$B$11*EXP(-((E10-Inputs!$B$7)^2)/(2*Inputs!$B$8^2))</f>
        <v/>
      </c>
      <c r="G10" s="18">
        <f>Inputs!$B$3+(Inputs!$B$4-Inputs!$B$3)*F10</f>
        <v/>
      </c>
      <c r="H10" s="15">
        <f>INT(G10)&amp;"'-"&amp;TEXT((G10-INT(G10))*12,"0.00")&amp;""""</f>
        <v/>
      </c>
      <c r="I10" s="18">
        <f>Inputs!$B$12*(G10-Inputs!$B$3)</f>
        <v/>
      </c>
      <c r="J10" s="15">
        <f>MIN(INT(E10*11),10)</f>
        <v/>
      </c>
      <c r="K10" s="16">
        <f>(J10+1)/11-E10</f>
        <v/>
      </c>
      <c r="L10" s="16">
        <f>E10-J10/11</f>
        <v/>
      </c>
      <c r="M10" s="19">
        <f>INDEX('Spline Math'!$O$2:$O$13,J10+1)*K10^3/(6*(1/11))+INDEX('Spline Math'!$O$2:$O$13,J10+2)*L10^3/(6*(1/11))+(INDEX(Inputs!$C$19:$C$30,J10+1)-INDEX('Spline Math'!$O$2:$O$13,J10+1)*(1/11)^2/6)*K10/(1/11)+(INDEX(Inputs!$C$19:$C$30,J10+2)-INDEX('Spline Math'!$O$2:$O$13,J10+2)*(1/11)^2/6)*L10/(1/11)</f>
        <v/>
      </c>
      <c r="N10" s="15">
        <f>MIN(INT(C10*11),10)</f>
        <v/>
      </c>
      <c r="O10" s="16">
        <f>(N10+1)/11-C10</f>
        <v/>
      </c>
      <c r="P10" s="16">
        <f>C10-N10/11</f>
        <v/>
      </c>
      <c r="Q10" s="19">
        <f>INDEX('Spline Math'!$S$2:$S$13,N10+1)*O10^3/(6*(1/11))+INDEX('Spline Math'!$S$2:$S$13,N10+2)*P10^3/(6*(1/11))+(INDEX(Inputs!$D$19:$D$30,N10+1)-INDEX('Spline Math'!$S$2:$S$13,N10+1)*(1/11)^2/6)*O10/(1/11)+(INDEX(Inputs!$D$19:$D$30,N10+2)-INDEX('Spline Math'!$S$2:$S$13,N10+2)*(1/11)^2/6)*P10/(1/11)</f>
        <v/>
      </c>
      <c r="R10" s="19">
        <f>G10*RADIANS(Q10)</f>
        <v/>
      </c>
      <c r="S10" s="19">
        <f>360-Q10</f>
        <v/>
      </c>
      <c r="T10" s="19">
        <f>G10*RADIANS(S10)</f>
        <v/>
      </c>
    </row>
    <row r="11">
      <c r="A11" s="14" t="n">
        <v>9</v>
      </c>
      <c r="B11" s="15">
        <f>A11-1</f>
        <v/>
      </c>
      <c r="C11" s="16">
        <f>B11/(Inputs!$B$6-1)</f>
        <v/>
      </c>
      <c r="D11" s="16">
        <f>(Inputs!$B$14*C11+((Inputs!$B$15-Inputs!$B$14)/PI())*(1-COS(PI()*C11)))/(Inputs!$B$14+2*(Inputs!$B$15-Inputs!$B$14)/PI())</f>
        <v/>
      </c>
      <c r="E11" s="16">
        <f>MIN(MAX((C11-(Inputs!$B$5-1)/(Inputs!$B$6-1))/(1-2*(Inputs!$B$5-1)/(Inputs!$B$6-1)),0),1)</f>
        <v/>
      </c>
      <c r="F11" s="17">
        <f>Inputs!$B$11*EXP(-((E11-Inputs!$B$7)^2)/(2*Inputs!$B$8^2))</f>
        <v/>
      </c>
      <c r="G11" s="18">
        <f>Inputs!$B$3+(Inputs!$B$4-Inputs!$B$3)*F11</f>
        <v/>
      </c>
      <c r="H11" s="15">
        <f>INT(G11)&amp;"'-"&amp;TEXT((G11-INT(G11))*12,"0.00")&amp;""""</f>
        <v/>
      </c>
      <c r="I11" s="18">
        <f>Inputs!$B$12*(G11-Inputs!$B$3)</f>
        <v/>
      </c>
      <c r="J11" s="15">
        <f>MIN(INT(E11*11),10)</f>
        <v/>
      </c>
      <c r="K11" s="16">
        <f>(J11+1)/11-E11</f>
        <v/>
      </c>
      <c r="L11" s="16">
        <f>E11-J11/11</f>
        <v/>
      </c>
      <c r="M11" s="19">
        <f>INDEX('Spline Math'!$O$2:$O$13,J11+1)*K11^3/(6*(1/11))+INDEX('Spline Math'!$O$2:$O$13,J11+2)*L11^3/(6*(1/11))+(INDEX(Inputs!$C$19:$C$30,J11+1)-INDEX('Spline Math'!$O$2:$O$13,J11+1)*(1/11)^2/6)*K11/(1/11)+(INDEX(Inputs!$C$19:$C$30,J11+2)-INDEX('Spline Math'!$O$2:$O$13,J11+2)*(1/11)^2/6)*L11/(1/11)</f>
        <v/>
      </c>
      <c r="N11" s="15">
        <f>MIN(INT(C11*11),10)</f>
        <v/>
      </c>
      <c r="O11" s="16">
        <f>(N11+1)/11-C11</f>
        <v/>
      </c>
      <c r="P11" s="16">
        <f>C11-N11/11</f>
        <v/>
      </c>
      <c r="Q11" s="19">
        <f>INDEX('Spline Math'!$S$2:$S$13,N11+1)*O11^3/(6*(1/11))+INDEX('Spline Math'!$S$2:$S$13,N11+2)*P11^3/(6*(1/11))+(INDEX(Inputs!$D$19:$D$30,N11+1)-INDEX('Spline Math'!$S$2:$S$13,N11+1)*(1/11)^2/6)*O11/(1/11)+(INDEX(Inputs!$D$19:$D$30,N11+2)-INDEX('Spline Math'!$S$2:$S$13,N11+2)*(1/11)^2/6)*P11/(1/11)</f>
        <v/>
      </c>
      <c r="R11" s="19">
        <f>G11*RADIANS(Q11)</f>
        <v/>
      </c>
      <c r="S11" s="19">
        <f>360-Q11</f>
        <v/>
      </c>
      <c r="T11" s="19">
        <f>G11*RADIANS(S11)</f>
        <v/>
      </c>
    </row>
    <row r="12">
      <c r="A12" s="14" t="n">
        <v>10</v>
      </c>
      <c r="B12" s="15">
        <f>A12-1</f>
        <v/>
      </c>
      <c r="C12" s="16">
        <f>B12/(Inputs!$B$6-1)</f>
        <v/>
      </c>
      <c r="D12" s="16">
        <f>(Inputs!$B$14*C12+((Inputs!$B$15-Inputs!$B$14)/PI())*(1-COS(PI()*C12)))/(Inputs!$B$14+2*(Inputs!$B$15-Inputs!$B$14)/PI())</f>
        <v/>
      </c>
      <c r="E12" s="16">
        <f>MIN(MAX((C12-(Inputs!$B$5-1)/(Inputs!$B$6-1))/(1-2*(Inputs!$B$5-1)/(Inputs!$B$6-1)),0),1)</f>
        <v/>
      </c>
      <c r="F12" s="17">
        <f>Inputs!$B$11*EXP(-((E12-Inputs!$B$7)^2)/(2*Inputs!$B$8^2))</f>
        <v/>
      </c>
      <c r="G12" s="18">
        <f>Inputs!$B$3+(Inputs!$B$4-Inputs!$B$3)*F12</f>
        <v/>
      </c>
      <c r="H12" s="15">
        <f>INT(G12)&amp;"'-"&amp;TEXT((G12-INT(G12))*12,"0.00")&amp;""""</f>
        <v/>
      </c>
      <c r="I12" s="18">
        <f>Inputs!$B$12*(G12-Inputs!$B$3)</f>
        <v/>
      </c>
      <c r="J12" s="15">
        <f>MIN(INT(E12*11),10)</f>
        <v/>
      </c>
      <c r="K12" s="16">
        <f>(J12+1)/11-E12</f>
        <v/>
      </c>
      <c r="L12" s="16">
        <f>E12-J12/11</f>
        <v/>
      </c>
      <c r="M12" s="19">
        <f>INDEX('Spline Math'!$O$2:$O$13,J12+1)*K12^3/(6*(1/11))+INDEX('Spline Math'!$O$2:$O$13,J12+2)*L12^3/(6*(1/11))+(INDEX(Inputs!$C$19:$C$30,J12+1)-INDEX('Spline Math'!$O$2:$O$13,J12+1)*(1/11)^2/6)*K12/(1/11)+(INDEX(Inputs!$C$19:$C$30,J12+2)-INDEX('Spline Math'!$O$2:$O$13,J12+2)*(1/11)^2/6)*L12/(1/11)</f>
        <v/>
      </c>
      <c r="N12" s="15">
        <f>MIN(INT(C12*11),10)</f>
        <v/>
      </c>
      <c r="O12" s="16">
        <f>(N12+1)/11-C12</f>
        <v/>
      </c>
      <c r="P12" s="16">
        <f>C12-N12/11</f>
        <v/>
      </c>
      <c r="Q12" s="19">
        <f>INDEX('Spline Math'!$S$2:$S$13,N12+1)*O12^3/(6*(1/11))+INDEX('Spline Math'!$S$2:$S$13,N12+2)*P12^3/(6*(1/11))+(INDEX(Inputs!$D$19:$D$30,N12+1)-INDEX('Spline Math'!$S$2:$S$13,N12+1)*(1/11)^2/6)*O12/(1/11)+(INDEX(Inputs!$D$19:$D$30,N12+2)-INDEX('Spline Math'!$S$2:$S$13,N12+2)*(1/11)^2/6)*P12/(1/11)</f>
        <v/>
      </c>
      <c r="R12" s="19">
        <f>G12*RADIANS(Q12)</f>
        <v/>
      </c>
      <c r="S12" s="19">
        <f>360-Q12</f>
        <v/>
      </c>
      <c r="T12" s="19">
        <f>G12*RADIANS(S12)</f>
        <v/>
      </c>
    </row>
    <row r="13">
      <c r="A13" s="14" t="n">
        <v>11</v>
      </c>
      <c r="B13" s="15">
        <f>A13-1</f>
        <v/>
      </c>
      <c r="C13" s="16">
        <f>B13/(Inputs!$B$6-1)</f>
        <v/>
      </c>
      <c r="D13" s="16">
        <f>(Inputs!$B$14*C13+((Inputs!$B$15-Inputs!$B$14)/PI())*(1-COS(PI()*C13)))/(Inputs!$B$14+2*(Inputs!$B$15-Inputs!$B$14)/PI())</f>
        <v/>
      </c>
      <c r="E13" s="16">
        <f>MIN(MAX((C13-(Inputs!$B$5-1)/(Inputs!$B$6-1))/(1-2*(Inputs!$B$5-1)/(Inputs!$B$6-1)),0),1)</f>
        <v/>
      </c>
      <c r="F13" s="17">
        <f>Inputs!$B$11*EXP(-((E13-Inputs!$B$7)^2)/(2*Inputs!$B$8^2))</f>
        <v/>
      </c>
      <c r="G13" s="18">
        <f>Inputs!$B$3+(Inputs!$B$4-Inputs!$B$3)*F13</f>
        <v/>
      </c>
      <c r="H13" s="15">
        <f>INT(G13)&amp;"'-"&amp;TEXT((G13-INT(G13))*12,"0.00")&amp;""""</f>
        <v/>
      </c>
      <c r="I13" s="18">
        <f>Inputs!$B$12*(G13-Inputs!$B$3)</f>
        <v/>
      </c>
      <c r="J13" s="15">
        <f>MIN(INT(E13*11),10)</f>
        <v/>
      </c>
      <c r="K13" s="16">
        <f>(J13+1)/11-E13</f>
        <v/>
      </c>
      <c r="L13" s="16">
        <f>E13-J13/11</f>
        <v/>
      </c>
      <c r="M13" s="19">
        <f>INDEX('Spline Math'!$O$2:$O$13,J13+1)*K13^3/(6*(1/11))+INDEX('Spline Math'!$O$2:$O$13,J13+2)*L13^3/(6*(1/11))+(INDEX(Inputs!$C$19:$C$30,J13+1)-INDEX('Spline Math'!$O$2:$O$13,J13+1)*(1/11)^2/6)*K13/(1/11)+(INDEX(Inputs!$C$19:$C$30,J13+2)-INDEX('Spline Math'!$O$2:$O$13,J13+2)*(1/11)^2/6)*L13/(1/11)</f>
        <v/>
      </c>
      <c r="N13" s="15">
        <f>MIN(INT(C13*11),10)</f>
        <v/>
      </c>
      <c r="O13" s="16">
        <f>(N13+1)/11-C13</f>
        <v/>
      </c>
      <c r="P13" s="16">
        <f>C13-N13/11</f>
        <v/>
      </c>
      <c r="Q13" s="19">
        <f>INDEX('Spline Math'!$S$2:$S$13,N13+1)*O13^3/(6*(1/11))+INDEX('Spline Math'!$S$2:$S$13,N13+2)*P13^3/(6*(1/11))+(INDEX(Inputs!$D$19:$D$30,N13+1)-INDEX('Spline Math'!$S$2:$S$13,N13+1)*(1/11)^2/6)*O13/(1/11)+(INDEX(Inputs!$D$19:$D$30,N13+2)-INDEX('Spline Math'!$S$2:$S$13,N13+2)*(1/11)^2/6)*P13/(1/11)</f>
        <v/>
      </c>
      <c r="R13" s="19">
        <f>G13*RADIANS(Q13)</f>
        <v/>
      </c>
      <c r="S13" s="19">
        <f>360-Q13</f>
        <v/>
      </c>
      <c r="T13" s="19">
        <f>G13*RADIANS(S13)</f>
        <v/>
      </c>
    </row>
    <row r="14">
      <c r="A14" s="14" t="n">
        <v>12</v>
      </c>
      <c r="B14" s="15">
        <f>A14-1</f>
        <v/>
      </c>
      <c r="C14" s="16">
        <f>B14/(Inputs!$B$6-1)</f>
        <v/>
      </c>
      <c r="D14" s="16">
        <f>(Inputs!$B$14*C14+((Inputs!$B$15-Inputs!$B$14)/PI())*(1-COS(PI()*C14)))/(Inputs!$B$14+2*(Inputs!$B$15-Inputs!$B$14)/PI())</f>
        <v/>
      </c>
      <c r="E14" s="16">
        <f>MIN(MAX((C14-(Inputs!$B$5-1)/(Inputs!$B$6-1))/(1-2*(Inputs!$B$5-1)/(Inputs!$B$6-1)),0),1)</f>
        <v/>
      </c>
      <c r="F14" s="17">
        <f>Inputs!$B$11*EXP(-((E14-Inputs!$B$7)^2)/(2*Inputs!$B$8^2))</f>
        <v/>
      </c>
      <c r="G14" s="18">
        <f>Inputs!$B$3+(Inputs!$B$4-Inputs!$B$3)*F14</f>
        <v/>
      </c>
      <c r="H14" s="15">
        <f>INT(G14)&amp;"'-"&amp;TEXT((G14-INT(G14))*12,"0.00")&amp;""""</f>
        <v/>
      </c>
      <c r="I14" s="18">
        <f>Inputs!$B$12*(G14-Inputs!$B$3)</f>
        <v/>
      </c>
      <c r="J14" s="15">
        <f>MIN(INT(E14*11),10)</f>
        <v/>
      </c>
      <c r="K14" s="16">
        <f>(J14+1)/11-E14</f>
        <v/>
      </c>
      <c r="L14" s="16">
        <f>E14-J14/11</f>
        <v/>
      </c>
      <c r="M14" s="19">
        <f>INDEX('Spline Math'!$O$2:$O$13,J14+1)*K14^3/(6*(1/11))+INDEX('Spline Math'!$O$2:$O$13,J14+2)*L14^3/(6*(1/11))+(INDEX(Inputs!$C$19:$C$30,J14+1)-INDEX('Spline Math'!$O$2:$O$13,J14+1)*(1/11)^2/6)*K14/(1/11)+(INDEX(Inputs!$C$19:$C$30,J14+2)-INDEX('Spline Math'!$O$2:$O$13,J14+2)*(1/11)^2/6)*L14/(1/11)</f>
        <v/>
      </c>
      <c r="N14" s="15">
        <f>MIN(INT(C14*11),10)</f>
        <v/>
      </c>
      <c r="O14" s="16">
        <f>(N14+1)/11-C14</f>
        <v/>
      </c>
      <c r="P14" s="16">
        <f>C14-N14/11</f>
        <v/>
      </c>
      <c r="Q14" s="19">
        <f>INDEX('Spline Math'!$S$2:$S$13,N14+1)*O14^3/(6*(1/11))+INDEX('Spline Math'!$S$2:$S$13,N14+2)*P14^3/(6*(1/11))+(INDEX(Inputs!$D$19:$D$30,N14+1)-INDEX('Spline Math'!$S$2:$S$13,N14+1)*(1/11)^2/6)*O14/(1/11)+(INDEX(Inputs!$D$19:$D$30,N14+2)-INDEX('Spline Math'!$S$2:$S$13,N14+2)*(1/11)^2/6)*P14/(1/11)</f>
        <v/>
      </c>
      <c r="R14" s="19">
        <f>G14*RADIANS(Q14)</f>
        <v/>
      </c>
      <c r="S14" s="19">
        <f>360-Q14</f>
        <v/>
      </c>
      <c r="T14" s="19">
        <f>G14*RADIANS(S14)</f>
        <v/>
      </c>
    </row>
    <row r="15">
      <c r="A15" s="14" t="n">
        <v>13</v>
      </c>
      <c r="B15" s="15">
        <f>A15-1</f>
        <v/>
      </c>
      <c r="C15" s="16">
        <f>B15/(Inputs!$B$6-1)</f>
        <v/>
      </c>
      <c r="D15" s="16">
        <f>(Inputs!$B$14*C15+((Inputs!$B$15-Inputs!$B$14)/PI())*(1-COS(PI()*C15)))/(Inputs!$B$14+2*(Inputs!$B$15-Inputs!$B$14)/PI())</f>
        <v/>
      </c>
      <c r="E15" s="16">
        <f>MIN(MAX((C15-(Inputs!$B$5-1)/(Inputs!$B$6-1))/(1-2*(Inputs!$B$5-1)/(Inputs!$B$6-1)),0),1)</f>
        <v/>
      </c>
      <c r="F15" s="17">
        <f>Inputs!$B$11*EXP(-((E15-Inputs!$B$7)^2)/(2*Inputs!$B$8^2))</f>
        <v/>
      </c>
      <c r="G15" s="18">
        <f>Inputs!$B$3+(Inputs!$B$4-Inputs!$B$3)*F15</f>
        <v/>
      </c>
      <c r="H15" s="15">
        <f>INT(G15)&amp;"'-"&amp;TEXT((G15-INT(G15))*12,"0.00")&amp;""""</f>
        <v/>
      </c>
      <c r="I15" s="18">
        <f>Inputs!$B$12*(G15-Inputs!$B$3)</f>
        <v/>
      </c>
      <c r="J15" s="15">
        <f>MIN(INT(E15*11),10)</f>
        <v/>
      </c>
      <c r="K15" s="16">
        <f>(J15+1)/11-E15</f>
        <v/>
      </c>
      <c r="L15" s="16">
        <f>E15-J15/11</f>
        <v/>
      </c>
      <c r="M15" s="19">
        <f>INDEX('Spline Math'!$O$2:$O$13,J15+1)*K15^3/(6*(1/11))+INDEX('Spline Math'!$O$2:$O$13,J15+2)*L15^3/(6*(1/11))+(INDEX(Inputs!$C$19:$C$30,J15+1)-INDEX('Spline Math'!$O$2:$O$13,J15+1)*(1/11)^2/6)*K15/(1/11)+(INDEX(Inputs!$C$19:$C$30,J15+2)-INDEX('Spline Math'!$O$2:$O$13,J15+2)*(1/11)^2/6)*L15/(1/11)</f>
        <v/>
      </c>
      <c r="N15" s="15">
        <f>MIN(INT(C15*11),10)</f>
        <v/>
      </c>
      <c r="O15" s="16">
        <f>(N15+1)/11-C15</f>
        <v/>
      </c>
      <c r="P15" s="16">
        <f>C15-N15/11</f>
        <v/>
      </c>
      <c r="Q15" s="19">
        <f>INDEX('Spline Math'!$S$2:$S$13,N15+1)*O15^3/(6*(1/11))+INDEX('Spline Math'!$S$2:$S$13,N15+2)*P15^3/(6*(1/11))+(INDEX(Inputs!$D$19:$D$30,N15+1)-INDEX('Spline Math'!$S$2:$S$13,N15+1)*(1/11)^2/6)*O15/(1/11)+(INDEX(Inputs!$D$19:$D$30,N15+2)-INDEX('Spline Math'!$S$2:$S$13,N15+2)*(1/11)^2/6)*P15/(1/11)</f>
        <v/>
      </c>
      <c r="R15" s="19">
        <f>G15*RADIANS(Q15)</f>
        <v/>
      </c>
      <c r="S15" s="19">
        <f>360-Q15</f>
        <v/>
      </c>
      <c r="T15" s="19">
        <f>G15*RADIANS(S15)</f>
        <v/>
      </c>
    </row>
    <row r="16">
      <c r="A16" s="14" t="n">
        <v>14</v>
      </c>
      <c r="B16" s="15">
        <f>A16-1</f>
        <v/>
      </c>
      <c r="C16" s="16">
        <f>B16/(Inputs!$B$6-1)</f>
        <v/>
      </c>
      <c r="D16" s="16">
        <f>(Inputs!$B$14*C16+((Inputs!$B$15-Inputs!$B$14)/PI())*(1-COS(PI()*C16)))/(Inputs!$B$14+2*(Inputs!$B$15-Inputs!$B$14)/PI())</f>
        <v/>
      </c>
      <c r="E16" s="16">
        <f>MIN(MAX((C16-(Inputs!$B$5-1)/(Inputs!$B$6-1))/(1-2*(Inputs!$B$5-1)/(Inputs!$B$6-1)),0),1)</f>
        <v/>
      </c>
      <c r="F16" s="17">
        <f>Inputs!$B$11*EXP(-((E16-Inputs!$B$7)^2)/(2*Inputs!$B$8^2))</f>
        <v/>
      </c>
      <c r="G16" s="18">
        <f>Inputs!$B$3+(Inputs!$B$4-Inputs!$B$3)*F16</f>
        <v/>
      </c>
      <c r="H16" s="15">
        <f>INT(G16)&amp;"'-"&amp;TEXT((G16-INT(G16))*12,"0.00")&amp;""""</f>
        <v/>
      </c>
      <c r="I16" s="18">
        <f>Inputs!$B$12*(G16-Inputs!$B$3)</f>
        <v/>
      </c>
      <c r="J16" s="15">
        <f>MIN(INT(E16*11),10)</f>
        <v/>
      </c>
      <c r="K16" s="16">
        <f>(J16+1)/11-E16</f>
        <v/>
      </c>
      <c r="L16" s="16">
        <f>E16-J16/11</f>
        <v/>
      </c>
      <c r="M16" s="19">
        <f>INDEX('Spline Math'!$O$2:$O$13,J16+1)*K16^3/(6*(1/11))+INDEX('Spline Math'!$O$2:$O$13,J16+2)*L16^3/(6*(1/11))+(INDEX(Inputs!$C$19:$C$30,J16+1)-INDEX('Spline Math'!$O$2:$O$13,J16+1)*(1/11)^2/6)*K16/(1/11)+(INDEX(Inputs!$C$19:$C$30,J16+2)-INDEX('Spline Math'!$O$2:$O$13,J16+2)*(1/11)^2/6)*L16/(1/11)</f>
        <v/>
      </c>
      <c r="N16" s="15">
        <f>MIN(INT(C16*11),10)</f>
        <v/>
      </c>
      <c r="O16" s="16">
        <f>(N16+1)/11-C16</f>
        <v/>
      </c>
      <c r="P16" s="16">
        <f>C16-N16/11</f>
        <v/>
      </c>
      <c r="Q16" s="19">
        <f>INDEX('Spline Math'!$S$2:$S$13,N16+1)*O16^3/(6*(1/11))+INDEX('Spline Math'!$S$2:$S$13,N16+2)*P16^3/(6*(1/11))+(INDEX(Inputs!$D$19:$D$30,N16+1)-INDEX('Spline Math'!$S$2:$S$13,N16+1)*(1/11)^2/6)*O16/(1/11)+(INDEX(Inputs!$D$19:$D$30,N16+2)-INDEX('Spline Math'!$S$2:$S$13,N16+2)*(1/11)^2/6)*P16/(1/11)</f>
        <v/>
      </c>
      <c r="R16" s="19">
        <f>G16*RADIANS(Q16)</f>
        <v/>
      </c>
      <c r="S16" s="19">
        <f>360-Q16</f>
        <v/>
      </c>
      <c r="T16" s="19">
        <f>G16*RADIANS(S16)</f>
        <v/>
      </c>
    </row>
    <row r="17">
      <c r="A17" s="14" t="n">
        <v>15</v>
      </c>
      <c r="B17" s="15">
        <f>A17-1</f>
        <v/>
      </c>
      <c r="C17" s="16">
        <f>B17/(Inputs!$B$6-1)</f>
        <v/>
      </c>
      <c r="D17" s="16">
        <f>(Inputs!$B$14*C17+((Inputs!$B$15-Inputs!$B$14)/PI())*(1-COS(PI()*C17)))/(Inputs!$B$14+2*(Inputs!$B$15-Inputs!$B$14)/PI())</f>
        <v/>
      </c>
      <c r="E17" s="16">
        <f>MIN(MAX((C17-(Inputs!$B$5-1)/(Inputs!$B$6-1))/(1-2*(Inputs!$B$5-1)/(Inputs!$B$6-1)),0),1)</f>
        <v/>
      </c>
      <c r="F17" s="17">
        <f>Inputs!$B$11*EXP(-((E17-Inputs!$B$7)^2)/(2*Inputs!$B$8^2))</f>
        <v/>
      </c>
      <c r="G17" s="18">
        <f>Inputs!$B$3+(Inputs!$B$4-Inputs!$B$3)*F17</f>
        <v/>
      </c>
      <c r="H17" s="15">
        <f>INT(G17)&amp;"'-"&amp;TEXT((G17-INT(G17))*12,"0.00")&amp;""""</f>
        <v/>
      </c>
      <c r="I17" s="18">
        <f>Inputs!$B$12*(G17-Inputs!$B$3)</f>
        <v/>
      </c>
      <c r="J17" s="15">
        <f>MIN(INT(E17*11),10)</f>
        <v/>
      </c>
      <c r="K17" s="16">
        <f>(J17+1)/11-E17</f>
        <v/>
      </c>
      <c r="L17" s="16">
        <f>E17-J17/11</f>
        <v/>
      </c>
      <c r="M17" s="19">
        <f>INDEX('Spline Math'!$O$2:$O$13,J17+1)*K17^3/(6*(1/11))+INDEX('Spline Math'!$O$2:$O$13,J17+2)*L17^3/(6*(1/11))+(INDEX(Inputs!$C$19:$C$30,J17+1)-INDEX('Spline Math'!$O$2:$O$13,J17+1)*(1/11)^2/6)*K17/(1/11)+(INDEX(Inputs!$C$19:$C$30,J17+2)-INDEX('Spline Math'!$O$2:$O$13,J17+2)*(1/11)^2/6)*L17/(1/11)</f>
        <v/>
      </c>
      <c r="N17" s="15">
        <f>MIN(INT(C17*11),10)</f>
        <v/>
      </c>
      <c r="O17" s="16">
        <f>(N17+1)/11-C17</f>
        <v/>
      </c>
      <c r="P17" s="16">
        <f>C17-N17/11</f>
        <v/>
      </c>
      <c r="Q17" s="19">
        <f>INDEX('Spline Math'!$S$2:$S$13,N17+1)*O17^3/(6*(1/11))+INDEX('Spline Math'!$S$2:$S$13,N17+2)*P17^3/(6*(1/11))+(INDEX(Inputs!$D$19:$D$30,N17+1)-INDEX('Spline Math'!$S$2:$S$13,N17+1)*(1/11)^2/6)*O17/(1/11)+(INDEX(Inputs!$D$19:$D$30,N17+2)-INDEX('Spline Math'!$S$2:$S$13,N17+2)*(1/11)^2/6)*P17/(1/11)</f>
        <v/>
      </c>
      <c r="R17" s="19">
        <f>G17*RADIANS(Q17)</f>
        <v/>
      </c>
      <c r="S17" s="19">
        <f>360-Q17</f>
        <v/>
      </c>
      <c r="T17" s="19">
        <f>G17*RADIANS(S17)</f>
        <v/>
      </c>
    </row>
    <row r="18">
      <c r="A18" s="14" t="n">
        <v>16</v>
      </c>
      <c r="B18" s="15">
        <f>A18-1</f>
        <v/>
      </c>
      <c r="C18" s="16">
        <f>B18/(Inputs!$B$6-1)</f>
        <v/>
      </c>
      <c r="D18" s="16">
        <f>(Inputs!$B$14*C18+((Inputs!$B$15-Inputs!$B$14)/PI())*(1-COS(PI()*C18)))/(Inputs!$B$14+2*(Inputs!$B$15-Inputs!$B$14)/PI())</f>
        <v/>
      </c>
      <c r="E18" s="16">
        <f>MIN(MAX((C18-(Inputs!$B$5-1)/(Inputs!$B$6-1))/(1-2*(Inputs!$B$5-1)/(Inputs!$B$6-1)),0),1)</f>
        <v/>
      </c>
      <c r="F18" s="17">
        <f>Inputs!$B$11*EXP(-((E18-Inputs!$B$7)^2)/(2*Inputs!$B$8^2))</f>
        <v/>
      </c>
      <c r="G18" s="18">
        <f>Inputs!$B$3+(Inputs!$B$4-Inputs!$B$3)*F18</f>
        <v/>
      </c>
      <c r="H18" s="15">
        <f>INT(G18)&amp;"'-"&amp;TEXT((G18-INT(G18))*12,"0.00")&amp;""""</f>
        <v/>
      </c>
      <c r="I18" s="18">
        <f>Inputs!$B$12*(G18-Inputs!$B$3)</f>
        <v/>
      </c>
      <c r="J18" s="15">
        <f>MIN(INT(E18*11),10)</f>
        <v/>
      </c>
      <c r="K18" s="16">
        <f>(J18+1)/11-E18</f>
        <v/>
      </c>
      <c r="L18" s="16">
        <f>E18-J18/11</f>
        <v/>
      </c>
      <c r="M18" s="19">
        <f>INDEX('Spline Math'!$O$2:$O$13,J18+1)*K18^3/(6*(1/11))+INDEX('Spline Math'!$O$2:$O$13,J18+2)*L18^3/(6*(1/11))+(INDEX(Inputs!$C$19:$C$30,J18+1)-INDEX('Spline Math'!$O$2:$O$13,J18+1)*(1/11)^2/6)*K18/(1/11)+(INDEX(Inputs!$C$19:$C$30,J18+2)-INDEX('Spline Math'!$O$2:$O$13,J18+2)*(1/11)^2/6)*L18/(1/11)</f>
        <v/>
      </c>
      <c r="N18" s="15">
        <f>MIN(INT(C18*11),10)</f>
        <v/>
      </c>
      <c r="O18" s="16">
        <f>(N18+1)/11-C18</f>
        <v/>
      </c>
      <c r="P18" s="16">
        <f>C18-N18/11</f>
        <v/>
      </c>
      <c r="Q18" s="19">
        <f>INDEX('Spline Math'!$S$2:$S$13,N18+1)*O18^3/(6*(1/11))+INDEX('Spline Math'!$S$2:$S$13,N18+2)*P18^3/(6*(1/11))+(INDEX(Inputs!$D$19:$D$30,N18+1)-INDEX('Spline Math'!$S$2:$S$13,N18+1)*(1/11)^2/6)*O18/(1/11)+(INDEX(Inputs!$D$19:$D$30,N18+2)-INDEX('Spline Math'!$S$2:$S$13,N18+2)*(1/11)^2/6)*P18/(1/11)</f>
        <v/>
      </c>
      <c r="R18" s="19">
        <f>G18*RADIANS(Q18)</f>
        <v/>
      </c>
      <c r="S18" s="19">
        <f>360-Q18</f>
        <v/>
      </c>
      <c r="T18" s="19">
        <f>G18*RADIANS(S18)</f>
        <v/>
      </c>
    </row>
    <row r="19">
      <c r="A19" s="14" t="n">
        <v>17</v>
      </c>
      <c r="B19" s="15">
        <f>A19-1</f>
        <v/>
      </c>
      <c r="C19" s="16">
        <f>B19/(Inputs!$B$6-1)</f>
        <v/>
      </c>
      <c r="D19" s="16">
        <f>(Inputs!$B$14*C19+((Inputs!$B$15-Inputs!$B$14)/PI())*(1-COS(PI()*C19)))/(Inputs!$B$14+2*(Inputs!$B$15-Inputs!$B$14)/PI())</f>
        <v/>
      </c>
      <c r="E19" s="16">
        <f>MIN(MAX((C19-(Inputs!$B$5-1)/(Inputs!$B$6-1))/(1-2*(Inputs!$B$5-1)/(Inputs!$B$6-1)),0),1)</f>
        <v/>
      </c>
      <c r="F19" s="17">
        <f>Inputs!$B$11*EXP(-((E19-Inputs!$B$7)^2)/(2*Inputs!$B$8^2))</f>
        <v/>
      </c>
      <c r="G19" s="18">
        <f>Inputs!$B$3+(Inputs!$B$4-Inputs!$B$3)*F19</f>
        <v/>
      </c>
      <c r="H19" s="15">
        <f>INT(G19)&amp;"'-"&amp;TEXT((G19-INT(G19))*12,"0.00")&amp;""""</f>
        <v/>
      </c>
      <c r="I19" s="18">
        <f>Inputs!$B$12*(G19-Inputs!$B$3)</f>
        <v/>
      </c>
      <c r="J19" s="15">
        <f>MIN(INT(E19*11),10)</f>
        <v/>
      </c>
      <c r="K19" s="16">
        <f>(J19+1)/11-E19</f>
        <v/>
      </c>
      <c r="L19" s="16">
        <f>E19-J19/11</f>
        <v/>
      </c>
      <c r="M19" s="19">
        <f>INDEX('Spline Math'!$O$2:$O$13,J19+1)*K19^3/(6*(1/11))+INDEX('Spline Math'!$O$2:$O$13,J19+2)*L19^3/(6*(1/11))+(INDEX(Inputs!$C$19:$C$30,J19+1)-INDEX('Spline Math'!$O$2:$O$13,J19+1)*(1/11)^2/6)*K19/(1/11)+(INDEX(Inputs!$C$19:$C$30,J19+2)-INDEX('Spline Math'!$O$2:$O$13,J19+2)*(1/11)^2/6)*L19/(1/11)</f>
        <v/>
      </c>
      <c r="N19" s="15">
        <f>MIN(INT(C19*11),10)</f>
        <v/>
      </c>
      <c r="O19" s="16">
        <f>(N19+1)/11-C19</f>
        <v/>
      </c>
      <c r="P19" s="16">
        <f>C19-N19/11</f>
        <v/>
      </c>
      <c r="Q19" s="19">
        <f>INDEX('Spline Math'!$S$2:$S$13,N19+1)*O19^3/(6*(1/11))+INDEX('Spline Math'!$S$2:$S$13,N19+2)*P19^3/(6*(1/11))+(INDEX(Inputs!$D$19:$D$30,N19+1)-INDEX('Spline Math'!$S$2:$S$13,N19+1)*(1/11)^2/6)*O19/(1/11)+(INDEX(Inputs!$D$19:$D$30,N19+2)-INDEX('Spline Math'!$S$2:$S$13,N19+2)*(1/11)^2/6)*P19/(1/11)</f>
        <v/>
      </c>
      <c r="R19" s="19">
        <f>G19*RADIANS(Q19)</f>
        <v/>
      </c>
      <c r="S19" s="19">
        <f>360-Q19</f>
        <v/>
      </c>
      <c r="T19" s="19">
        <f>G19*RADIANS(S19)</f>
        <v/>
      </c>
    </row>
    <row r="20">
      <c r="A20" s="14" t="n">
        <v>18</v>
      </c>
      <c r="B20" s="15">
        <f>A20-1</f>
        <v/>
      </c>
      <c r="C20" s="16">
        <f>B20/(Inputs!$B$6-1)</f>
        <v/>
      </c>
      <c r="D20" s="16">
        <f>(Inputs!$B$14*C20+((Inputs!$B$15-Inputs!$B$14)/PI())*(1-COS(PI()*C20)))/(Inputs!$B$14+2*(Inputs!$B$15-Inputs!$B$14)/PI())</f>
        <v/>
      </c>
      <c r="E20" s="16">
        <f>MIN(MAX((C20-(Inputs!$B$5-1)/(Inputs!$B$6-1))/(1-2*(Inputs!$B$5-1)/(Inputs!$B$6-1)),0),1)</f>
        <v/>
      </c>
      <c r="F20" s="17">
        <f>Inputs!$B$11*EXP(-((E20-Inputs!$B$7)^2)/(2*Inputs!$B$8^2))</f>
        <v/>
      </c>
      <c r="G20" s="18">
        <f>Inputs!$B$3+(Inputs!$B$4-Inputs!$B$3)*F20</f>
        <v/>
      </c>
      <c r="H20" s="15">
        <f>INT(G20)&amp;"'-"&amp;TEXT((G20-INT(G20))*12,"0.00")&amp;""""</f>
        <v/>
      </c>
      <c r="I20" s="18">
        <f>Inputs!$B$12*(G20-Inputs!$B$3)</f>
        <v/>
      </c>
      <c r="J20" s="15">
        <f>MIN(INT(E20*11),10)</f>
        <v/>
      </c>
      <c r="K20" s="16">
        <f>(J20+1)/11-E20</f>
        <v/>
      </c>
      <c r="L20" s="16">
        <f>E20-J20/11</f>
        <v/>
      </c>
      <c r="M20" s="19">
        <f>INDEX('Spline Math'!$O$2:$O$13,J20+1)*K20^3/(6*(1/11))+INDEX('Spline Math'!$O$2:$O$13,J20+2)*L20^3/(6*(1/11))+(INDEX(Inputs!$C$19:$C$30,J20+1)-INDEX('Spline Math'!$O$2:$O$13,J20+1)*(1/11)^2/6)*K20/(1/11)+(INDEX(Inputs!$C$19:$C$30,J20+2)-INDEX('Spline Math'!$O$2:$O$13,J20+2)*(1/11)^2/6)*L20/(1/11)</f>
        <v/>
      </c>
      <c r="N20" s="15">
        <f>MIN(INT(C20*11),10)</f>
        <v/>
      </c>
      <c r="O20" s="16">
        <f>(N20+1)/11-C20</f>
        <v/>
      </c>
      <c r="P20" s="16">
        <f>C20-N20/11</f>
        <v/>
      </c>
      <c r="Q20" s="19">
        <f>INDEX('Spline Math'!$S$2:$S$13,N20+1)*O20^3/(6*(1/11))+INDEX('Spline Math'!$S$2:$S$13,N20+2)*P20^3/(6*(1/11))+(INDEX(Inputs!$D$19:$D$30,N20+1)-INDEX('Spline Math'!$S$2:$S$13,N20+1)*(1/11)^2/6)*O20/(1/11)+(INDEX(Inputs!$D$19:$D$30,N20+2)-INDEX('Spline Math'!$S$2:$S$13,N20+2)*(1/11)^2/6)*P20/(1/11)</f>
        <v/>
      </c>
      <c r="R20" s="19">
        <f>G20*RADIANS(Q20)</f>
        <v/>
      </c>
      <c r="S20" s="19">
        <f>360-Q20</f>
        <v/>
      </c>
      <c r="T20" s="19">
        <f>G20*RADIANS(S20)</f>
        <v/>
      </c>
    </row>
    <row r="21">
      <c r="A21" s="14" t="n">
        <v>19</v>
      </c>
      <c r="B21" s="15">
        <f>A21-1</f>
        <v/>
      </c>
      <c r="C21" s="16">
        <f>B21/(Inputs!$B$6-1)</f>
        <v/>
      </c>
      <c r="D21" s="16">
        <f>(Inputs!$B$14*C21+((Inputs!$B$15-Inputs!$B$14)/PI())*(1-COS(PI()*C21)))/(Inputs!$B$14+2*(Inputs!$B$15-Inputs!$B$14)/PI())</f>
        <v/>
      </c>
      <c r="E21" s="16">
        <f>MIN(MAX((C21-(Inputs!$B$5-1)/(Inputs!$B$6-1))/(1-2*(Inputs!$B$5-1)/(Inputs!$B$6-1)),0),1)</f>
        <v/>
      </c>
      <c r="F21" s="17">
        <f>Inputs!$B$11*EXP(-((E21-Inputs!$B$7)^2)/(2*Inputs!$B$8^2))</f>
        <v/>
      </c>
      <c r="G21" s="18">
        <f>Inputs!$B$3+(Inputs!$B$4-Inputs!$B$3)*F21</f>
        <v/>
      </c>
      <c r="H21" s="15">
        <f>INT(G21)&amp;"'-"&amp;TEXT((G21-INT(G21))*12,"0.00")&amp;""""</f>
        <v/>
      </c>
      <c r="I21" s="18">
        <f>Inputs!$B$12*(G21-Inputs!$B$3)</f>
        <v/>
      </c>
      <c r="J21" s="15">
        <f>MIN(INT(E21*11),10)</f>
        <v/>
      </c>
      <c r="K21" s="16">
        <f>(J21+1)/11-E21</f>
        <v/>
      </c>
      <c r="L21" s="16">
        <f>E21-J21/11</f>
        <v/>
      </c>
      <c r="M21" s="19">
        <f>INDEX('Spline Math'!$O$2:$O$13,J21+1)*K21^3/(6*(1/11))+INDEX('Spline Math'!$O$2:$O$13,J21+2)*L21^3/(6*(1/11))+(INDEX(Inputs!$C$19:$C$30,J21+1)-INDEX('Spline Math'!$O$2:$O$13,J21+1)*(1/11)^2/6)*K21/(1/11)+(INDEX(Inputs!$C$19:$C$30,J21+2)-INDEX('Spline Math'!$O$2:$O$13,J21+2)*(1/11)^2/6)*L21/(1/11)</f>
        <v/>
      </c>
      <c r="N21" s="15">
        <f>MIN(INT(C21*11),10)</f>
        <v/>
      </c>
      <c r="O21" s="16">
        <f>(N21+1)/11-C21</f>
        <v/>
      </c>
      <c r="P21" s="16">
        <f>C21-N21/11</f>
        <v/>
      </c>
      <c r="Q21" s="19">
        <f>INDEX('Spline Math'!$S$2:$S$13,N21+1)*O21^3/(6*(1/11))+INDEX('Spline Math'!$S$2:$S$13,N21+2)*P21^3/(6*(1/11))+(INDEX(Inputs!$D$19:$D$30,N21+1)-INDEX('Spline Math'!$S$2:$S$13,N21+1)*(1/11)^2/6)*O21/(1/11)+(INDEX(Inputs!$D$19:$D$30,N21+2)-INDEX('Spline Math'!$S$2:$S$13,N21+2)*(1/11)^2/6)*P21/(1/11)</f>
        <v/>
      </c>
      <c r="R21" s="19">
        <f>G21*RADIANS(Q21)</f>
        <v/>
      </c>
      <c r="S21" s="19">
        <f>360-Q21</f>
        <v/>
      </c>
      <c r="T21" s="19">
        <f>G21*RADIANS(S21)</f>
        <v/>
      </c>
    </row>
    <row r="22">
      <c r="A22" s="14" t="n">
        <v>20</v>
      </c>
      <c r="B22" s="15">
        <f>A22-1</f>
        <v/>
      </c>
      <c r="C22" s="16">
        <f>B22/(Inputs!$B$6-1)</f>
        <v/>
      </c>
      <c r="D22" s="16">
        <f>(Inputs!$B$14*C22+((Inputs!$B$15-Inputs!$B$14)/PI())*(1-COS(PI()*C22)))/(Inputs!$B$14+2*(Inputs!$B$15-Inputs!$B$14)/PI())</f>
        <v/>
      </c>
      <c r="E22" s="16">
        <f>MIN(MAX((C22-(Inputs!$B$5-1)/(Inputs!$B$6-1))/(1-2*(Inputs!$B$5-1)/(Inputs!$B$6-1)),0),1)</f>
        <v/>
      </c>
      <c r="F22" s="17">
        <f>Inputs!$B$11*EXP(-((E22-Inputs!$B$7)^2)/(2*Inputs!$B$8^2))</f>
        <v/>
      </c>
      <c r="G22" s="18">
        <f>Inputs!$B$3+(Inputs!$B$4-Inputs!$B$3)*F22</f>
        <v/>
      </c>
      <c r="H22" s="15">
        <f>INT(G22)&amp;"'-"&amp;TEXT((G22-INT(G22))*12,"0.00")&amp;""""</f>
        <v/>
      </c>
      <c r="I22" s="18">
        <f>Inputs!$B$12*(G22-Inputs!$B$3)</f>
        <v/>
      </c>
      <c r="J22" s="15">
        <f>MIN(INT(E22*11),10)</f>
        <v/>
      </c>
      <c r="K22" s="16">
        <f>(J22+1)/11-E22</f>
        <v/>
      </c>
      <c r="L22" s="16">
        <f>E22-J22/11</f>
        <v/>
      </c>
      <c r="M22" s="19">
        <f>INDEX('Spline Math'!$O$2:$O$13,J22+1)*K22^3/(6*(1/11))+INDEX('Spline Math'!$O$2:$O$13,J22+2)*L22^3/(6*(1/11))+(INDEX(Inputs!$C$19:$C$30,J22+1)-INDEX('Spline Math'!$O$2:$O$13,J22+1)*(1/11)^2/6)*K22/(1/11)+(INDEX(Inputs!$C$19:$C$30,J22+2)-INDEX('Spline Math'!$O$2:$O$13,J22+2)*(1/11)^2/6)*L22/(1/11)</f>
        <v/>
      </c>
      <c r="N22" s="15">
        <f>MIN(INT(C22*11),10)</f>
        <v/>
      </c>
      <c r="O22" s="16">
        <f>(N22+1)/11-C22</f>
        <v/>
      </c>
      <c r="P22" s="16">
        <f>C22-N22/11</f>
        <v/>
      </c>
      <c r="Q22" s="19">
        <f>INDEX('Spline Math'!$S$2:$S$13,N22+1)*O22^3/(6*(1/11))+INDEX('Spline Math'!$S$2:$S$13,N22+2)*P22^3/(6*(1/11))+(INDEX(Inputs!$D$19:$D$30,N22+1)-INDEX('Spline Math'!$S$2:$S$13,N22+1)*(1/11)^2/6)*O22/(1/11)+(INDEX(Inputs!$D$19:$D$30,N22+2)-INDEX('Spline Math'!$S$2:$S$13,N22+2)*(1/11)^2/6)*P22/(1/11)</f>
        <v/>
      </c>
      <c r="R22" s="19">
        <f>G22*RADIANS(Q22)</f>
        <v/>
      </c>
      <c r="S22" s="19">
        <f>360-Q22</f>
        <v/>
      </c>
      <c r="T22" s="19">
        <f>G22*RADIANS(S22)</f>
        <v/>
      </c>
    </row>
    <row r="23">
      <c r="A23" s="14" t="n">
        <v>21</v>
      </c>
      <c r="B23" s="15">
        <f>A23-1</f>
        <v/>
      </c>
      <c r="C23" s="16">
        <f>B23/(Inputs!$B$6-1)</f>
        <v/>
      </c>
      <c r="D23" s="16">
        <f>(Inputs!$B$14*C23+((Inputs!$B$15-Inputs!$B$14)/PI())*(1-COS(PI()*C23)))/(Inputs!$B$14+2*(Inputs!$B$15-Inputs!$B$14)/PI())</f>
        <v/>
      </c>
      <c r="E23" s="16">
        <f>MIN(MAX((C23-(Inputs!$B$5-1)/(Inputs!$B$6-1))/(1-2*(Inputs!$B$5-1)/(Inputs!$B$6-1)),0),1)</f>
        <v/>
      </c>
      <c r="F23" s="17">
        <f>Inputs!$B$11*EXP(-((E23-Inputs!$B$7)^2)/(2*Inputs!$B$8^2))</f>
        <v/>
      </c>
      <c r="G23" s="18">
        <f>Inputs!$B$3+(Inputs!$B$4-Inputs!$B$3)*F23</f>
        <v/>
      </c>
      <c r="H23" s="15">
        <f>INT(G23)&amp;"'-"&amp;TEXT((G23-INT(G23))*12,"0.00")&amp;""""</f>
        <v/>
      </c>
      <c r="I23" s="18">
        <f>Inputs!$B$12*(G23-Inputs!$B$3)</f>
        <v/>
      </c>
      <c r="J23" s="15">
        <f>MIN(INT(E23*11),10)</f>
        <v/>
      </c>
      <c r="K23" s="16">
        <f>(J23+1)/11-E23</f>
        <v/>
      </c>
      <c r="L23" s="16">
        <f>E23-J23/11</f>
        <v/>
      </c>
      <c r="M23" s="19">
        <f>INDEX('Spline Math'!$O$2:$O$13,J23+1)*K23^3/(6*(1/11))+INDEX('Spline Math'!$O$2:$O$13,J23+2)*L23^3/(6*(1/11))+(INDEX(Inputs!$C$19:$C$30,J23+1)-INDEX('Spline Math'!$O$2:$O$13,J23+1)*(1/11)^2/6)*K23/(1/11)+(INDEX(Inputs!$C$19:$C$30,J23+2)-INDEX('Spline Math'!$O$2:$O$13,J23+2)*(1/11)^2/6)*L23/(1/11)</f>
        <v/>
      </c>
      <c r="N23" s="15">
        <f>MIN(INT(C23*11),10)</f>
        <v/>
      </c>
      <c r="O23" s="16">
        <f>(N23+1)/11-C23</f>
        <v/>
      </c>
      <c r="P23" s="16">
        <f>C23-N23/11</f>
        <v/>
      </c>
      <c r="Q23" s="19">
        <f>INDEX('Spline Math'!$S$2:$S$13,N23+1)*O23^3/(6*(1/11))+INDEX('Spline Math'!$S$2:$S$13,N23+2)*P23^3/(6*(1/11))+(INDEX(Inputs!$D$19:$D$30,N23+1)-INDEX('Spline Math'!$S$2:$S$13,N23+1)*(1/11)^2/6)*O23/(1/11)+(INDEX(Inputs!$D$19:$D$30,N23+2)-INDEX('Spline Math'!$S$2:$S$13,N23+2)*(1/11)^2/6)*P23/(1/11)</f>
        <v/>
      </c>
      <c r="R23" s="19">
        <f>G23*RADIANS(Q23)</f>
        <v/>
      </c>
      <c r="S23" s="19">
        <f>360-Q23</f>
        <v/>
      </c>
      <c r="T23" s="19">
        <f>G23*RADIANS(S23)</f>
        <v/>
      </c>
    </row>
    <row r="24">
      <c r="A24" s="14" t="n">
        <v>22</v>
      </c>
      <c r="B24" s="15">
        <f>A24-1</f>
        <v/>
      </c>
      <c r="C24" s="16">
        <f>B24/(Inputs!$B$6-1)</f>
        <v/>
      </c>
      <c r="D24" s="16">
        <f>(Inputs!$B$14*C24+((Inputs!$B$15-Inputs!$B$14)/PI())*(1-COS(PI()*C24)))/(Inputs!$B$14+2*(Inputs!$B$15-Inputs!$B$14)/PI())</f>
        <v/>
      </c>
      <c r="E24" s="16">
        <f>MIN(MAX((C24-(Inputs!$B$5-1)/(Inputs!$B$6-1))/(1-2*(Inputs!$B$5-1)/(Inputs!$B$6-1)),0),1)</f>
        <v/>
      </c>
      <c r="F24" s="17">
        <f>Inputs!$B$11*EXP(-((E24-Inputs!$B$7)^2)/(2*Inputs!$B$8^2))</f>
        <v/>
      </c>
      <c r="G24" s="18">
        <f>Inputs!$B$3+(Inputs!$B$4-Inputs!$B$3)*F24</f>
        <v/>
      </c>
      <c r="H24" s="15">
        <f>INT(G24)&amp;"'-"&amp;TEXT((G24-INT(G24))*12,"0.00")&amp;""""</f>
        <v/>
      </c>
      <c r="I24" s="18">
        <f>Inputs!$B$12*(G24-Inputs!$B$3)</f>
        <v/>
      </c>
      <c r="J24" s="15">
        <f>MIN(INT(E24*11),10)</f>
        <v/>
      </c>
      <c r="K24" s="16">
        <f>(J24+1)/11-E24</f>
        <v/>
      </c>
      <c r="L24" s="16">
        <f>E24-J24/11</f>
        <v/>
      </c>
      <c r="M24" s="19">
        <f>INDEX('Spline Math'!$O$2:$O$13,J24+1)*K24^3/(6*(1/11))+INDEX('Spline Math'!$O$2:$O$13,J24+2)*L24^3/(6*(1/11))+(INDEX(Inputs!$C$19:$C$30,J24+1)-INDEX('Spline Math'!$O$2:$O$13,J24+1)*(1/11)^2/6)*K24/(1/11)+(INDEX(Inputs!$C$19:$C$30,J24+2)-INDEX('Spline Math'!$O$2:$O$13,J24+2)*(1/11)^2/6)*L24/(1/11)</f>
        <v/>
      </c>
      <c r="N24" s="15">
        <f>MIN(INT(C24*11),10)</f>
        <v/>
      </c>
      <c r="O24" s="16">
        <f>(N24+1)/11-C24</f>
        <v/>
      </c>
      <c r="P24" s="16">
        <f>C24-N24/11</f>
        <v/>
      </c>
      <c r="Q24" s="19">
        <f>INDEX('Spline Math'!$S$2:$S$13,N24+1)*O24^3/(6*(1/11))+INDEX('Spline Math'!$S$2:$S$13,N24+2)*P24^3/(6*(1/11))+(INDEX(Inputs!$D$19:$D$30,N24+1)-INDEX('Spline Math'!$S$2:$S$13,N24+1)*(1/11)^2/6)*O24/(1/11)+(INDEX(Inputs!$D$19:$D$30,N24+2)-INDEX('Spline Math'!$S$2:$S$13,N24+2)*(1/11)^2/6)*P24/(1/11)</f>
        <v/>
      </c>
      <c r="R24" s="19">
        <f>G24*RADIANS(Q24)</f>
        <v/>
      </c>
      <c r="S24" s="19">
        <f>360-Q24</f>
        <v/>
      </c>
      <c r="T24" s="19">
        <f>G24*RADIANS(S24)</f>
        <v/>
      </c>
    </row>
    <row r="25">
      <c r="A25" s="14" t="n">
        <v>23</v>
      </c>
      <c r="B25" s="15">
        <f>A25-1</f>
        <v/>
      </c>
      <c r="C25" s="16">
        <f>B25/(Inputs!$B$6-1)</f>
        <v/>
      </c>
      <c r="D25" s="16">
        <f>(Inputs!$B$14*C25+((Inputs!$B$15-Inputs!$B$14)/PI())*(1-COS(PI()*C25)))/(Inputs!$B$14+2*(Inputs!$B$15-Inputs!$B$14)/PI())</f>
        <v/>
      </c>
      <c r="E25" s="16">
        <f>MIN(MAX((C25-(Inputs!$B$5-1)/(Inputs!$B$6-1))/(1-2*(Inputs!$B$5-1)/(Inputs!$B$6-1)),0),1)</f>
        <v/>
      </c>
      <c r="F25" s="17">
        <f>Inputs!$B$11*EXP(-((E25-Inputs!$B$7)^2)/(2*Inputs!$B$8^2))</f>
        <v/>
      </c>
      <c r="G25" s="18">
        <f>Inputs!$B$3+(Inputs!$B$4-Inputs!$B$3)*F25</f>
        <v/>
      </c>
      <c r="H25" s="15">
        <f>INT(G25)&amp;"'-"&amp;TEXT((G25-INT(G25))*12,"0.00")&amp;""""</f>
        <v/>
      </c>
      <c r="I25" s="18">
        <f>Inputs!$B$12*(G25-Inputs!$B$3)</f>
        <v/>
      </c>
      <c r="J25" s="15">
        <f>MIN(INT(E25*11),10)</f>
        <v/>
      </c>
      <c r="K25" s="16">
        <f>(J25+1)/11-E25</f>
        <v/>
      </c>
      <c r="L25" s="16">
        <f>E25-J25/11</f>
        <v/>
      </c>
      <c r="M25" s="19">
        <f>INDEX('Spline Math'!$O$2:$O$13,J25+1)*K25^3/(6*(1/11))+INDEX('Spline Math'!$O$2:$O$13,J25+2)*L25^3/(6*(1/11))+(INDEX(Inputs!$C$19:$C$30,J25+1)-INDEX('Spline Math'!$O$2:$O$13,J25+1)*(1/11)^2/6)*K25/(1/11)+(INDEX(Inputs!$C$19:$C$30,J25+2)-INDEX('Spline Math'!$O$2:$O$13,J25+2)*(1/11)^2/6)*L25/(1/11)</f>
        <v/>
      </c>
      <c r="N25" s="15">
        <f>MIN(INT(C25*11),10)</f>
        <v/>
      </c>
      <c r="O25" s="16">
        <f>(N25+1)/11-C25</f>
        <v/>
      </c>
      <c r="P25" s="16">
        <f>C25-N25/11</f>
        <v/>
      </c>
      <c r="Q25" s="19">
        <f>INDEX('Spline Math'!$S$2:$S$13,N25+1)*O25^3/(6*(1/11))+INDEX('Spline Math'!$S$2:$S$13,N25+2)*P25^3/(6*(1/11))+(INDEX(Inputs!$D$19:$D$30,N25+1)-INDEX('Spline Math'!$S$2:$S$13,N25+1)*(1/11)^2/6)*O25/(1/11)+(INDEX(Inputs!$D$19:$D$30,N25+2)-INDEX('Spline Math'!$S$2:$S$13,N25+2)*(1/11)^2/6)*P25/(1/11)</f>
        <v/>
      </c>
      <c r="R25" s="19">
        <f>G25*RADIANS(Q25)</f>
        <v/>
      </c>
      <c r="S25" s="19">
        <f>360-Q25</f>
        <v/>
      </c>
      <c r="T25" s="19">
        <f>G25*RADIANS(S25)</f>
        <v/>
      </c>
    </row>
    <row r="26">
      <c r="A26" s="14" t="n">
        <v>24</v>
      </c>
      <c r="B26" s="15">
        <f>A26-1</f>
        <v/>
      </c>
      <c r="C26" s="16">
        <f>B26/(Inputs!$B$6-1)</f>
        <v/>
      </c>
      <c r="D26" s="16">
        <f>(Inputs!$B$14*C26+((Inputs!$B$15-Inputs!$B$14)/PI())*(1-COS(PI()*C26)))/(Inputs!$B$14+2*(Inputs!$B$15-Inputs!$B$14)/PI())</f>
        <v/>
      </c>
      <c r="E26" s="16">
        <f>MIN(MAX((C26-(Inputs!$B$5-1)/(Inputs!$B$6-1))/(1-2*(Inputs!$B$5-1)/(Inputs!$B$6-1)),0),1)</f>
        <v/>
      </c>
      <c r="F26" s="17">
        <f>Inputs!$B$11*EXP(-((E26-Inputs!$B$7)^2)/(2*Inputs!$B$8^2))</f>
        <v/>
      </c>
      <c r="G26" s="18">
        <f>Inputs!$B$3+(Inputs!$B$4-Inputs!$B$3)*F26</f>
        <v/>
      </c>
      <c r="H26" s="15">
        <f>INT(G26)&amp;"'-"&amp;TEXT((G26-INT(G26))*12,"0.00")&amp;""""</f>
        <v/>
      </c>
      <c r="I26" s="18">
        <f>Inputs!$B$12*(G26-Inputs!$B$3)</f>
        <v/>
      </c>
      <c r="J26" s="15">
        <f>MIN(INT(E26*11),10)</f>
        <v/>
      </c>
      <c r="K26" s="16">
        <f>(J26+1)/11-E26</f>
        <v/>
      </c>
      <c r="L26" s="16">
        <f>E26-J26/11</f>
        <v/>
      </c>
      <c r="M26" s="19">
        <f>INDEX('Spline Math'!$O$2:$O$13,J26+1)*K26^3/(6*(1/11))+INDEX('Spline Math'!$O$2:$O$13,J26+2)*L26^3/(6*(1/11))+(INDEX(Inputs!$C$19:$C$30,J26+1)-INDEX('Spline Math'!$O$2:$O$13,J26+1)*(1/11)^2/6)*K26/(1/11)+(INDEX(Inputs!$C$19:$C$30,J26+2)-INDEX('Spline Math'!$O$2:$O$13,J26+2)*(1/11)^2/6)*L26/(1/11)</f>
        <v/>
      </c>
      <c r="N26" s="15">
        <f>MIN(INT(C26*11),10)</f>
        <v/>
      </c>
      <c r="O26" s="16">
        <f>(N26+1)/11-C26</f>
        <v/>
      </c>
      <c r="P26" s="16">
        <f>C26-N26/11</f>
        <v/>
      </c>
      <c r="Q26" s="19">
        <f>INDEX('Spline Math'!$S$2:$S$13,N26+1)*O26^3/(6*(1/11))+INDEX('Spline Math'!$S$2:$S$13,N26+2)*P26^3/(6*(1/11))+(INDEX(Inputs!$D$19:$D$30,N26+1)-INDEX('Spline Math'!$S$2:$S$13,N26+1)*(1/11)^2/6)*O26/(1/11)+(INDEX(Inputs!$D$19:$D$30,N26+2)-INDEX('Spline Math'!$S$2:$S$13,N26+2)*(1/11)^2/6)*P26/(1/11)</f>
        <v/>
      </c>
      <c r="R26" s="19">
        <f>G26*RADIANS(Q26)</f>
        <v/>
      </c>
      <c r="S26" s="19">
        <f>360-Q26</f>
        <v/>
      </c>
      <c r="T26" s="19">
        <f>G26*RADIANS(S26)</f>
        <v/>
      </c>
    </row>
    <row r="27">
      <c r="A27" s="14" t="n">
        <v>25</v>
      </c>
      <c r="B27" s="15">
        <f>A27-1</f>
        <v/>
      </c>
      <c r="C27" s="16">
        <f>B27/(Inputs!$B$6-1)</f>
        <v/>
      </c>
      <c r="D27" s="16">
        <f>(Inputs!$B$14*C27+((Inputs!$B$15-Inputs!$B$14)/PI())*(1-COS(PI()*C27)))/(Inputs!$B$14+2*(Inputs!$B$15-Inputs!$B$14)/PI())</f>
        <v/>
      </c>
      <c r="E27" s="16">
        <f>MIN(MAX((C27-(Inputs!$B$5-1)/(Inputs!$B$6-1))/(1-2*(Inputs!$B$5-1)/(Inputs!$B$6-1)),0),1)</f>
        <v/>
      </c>
      <c r="F27" s="17">
        <f>Inputs!$B$11*EXP(-((E27-Inputs!$B$7)^2)/(2*Inputs!$B$8^2))</f>
        <v/>
      </c>
      <c r="G27" s="18">
        <f>Inputs!$B$3+(Inputs!$B$4-Inputs!$B$3)*F27</f>
        <v/>
      </c>
      <c r="H27" s="15">
        <f>INT(G27)&amp;"'-"&amp;TEXT((G27-INT(G27))*12,"0.00")&amp;""""</f>
        <v/>
      </c>
      <c r="I27" s="18">
        <f>Inputs!$B$12*(G27-Inputs!$B$3)</f>
        <v/>
      </c>
      <c r="J27" s="15">
        <f>MIN(INT(E27*11),10)</f>
        <v/>
      </c>
      <c r="K27" s="16">
        <f>(J27+1)/11-E27</f>
        <v/>
      </c>
      <c r="L27" s="16">
        <f>E27-J27/11</f>
        <v/>
      </c>
      <c r="M27" s="19">
        <f>INDEX('Spline Math'!$O$2:$O$13,J27+1)*K27^3/(6*(1/11))+INDEX('Spline Math'!$O$2:$O$13,J27+2)*L27^3/(6*(1/11))+(INDEX(Inputs!$C$19:$C$30,J27+1)-INDEX('Spline Math'!$O$2:$O$13,J27+1)*(1/11)^2/6)*K27/(1/11)+(INDEX(Inputs!$C$19:$C$30,J27+2)-INDEX('Spline Math'!$O$2:$O$13,J27+2)*(1/11)^2/6)*L27/(1/11)</f>
        <v/>
      </c>
      <c r="N27" s="15">
        <f>MIN(INT(C27*11),10)</f>
        <v/>
      </c>
      <c r="O27" s="16">
        <f>(N27+1)/11-C27</f>
        <v/>
      </c>
      <c r="P27" s="16">
        <f>C27-N27/11</f>
        <v/>
      </c>
      <c r="Q27" s="19">
        <f>INDEX('Spline Math'!$S$2:$S$13,N27+1)*O27^3/(6*(1/11))+INDEX('Spline Math'!$S$2:$S$13,N27+2)*P27^3/(6*(1/11))+(INDEX(Inputs!$D$19:$D$30,N27+1)-INDEX('Spline Math'!$S$2:$S$13,N27+1)*(1/11)^2/6)*O27/(1/11)+(INDEX(Inputs!$D$19:$D$30,N27+2)-INDEX('Spline Math'!$S$2:$S$13,N27+2)*(1/11)^2/6)*P27/(1/11)</f>
        <v/>
      </c>
      <c r="R27" s="19">
        <f>G27*RADIANS(Q27)</f>
        <v/>
      </c>
      <c r="S27" s="19">
        <f>360-Q27</f>
        <v/>
      </c>
      <c r="T27" s="19">
        <f>G27*RADIANS(S27)</f>
        <v/>
      </c>
    </row>
    <row r="28">
      <c r="A28" s="14" t="n">
        <v>26</v>
      </c>
      <c r="B28" s="15">
        <f>A28-1</f>
        <v/>
      </c>
      <c r="C28" s="16">
        <f>B28/(Inputs!$B$6-1)</f>
        <v/>
      </c>
      <c r="D28" s="16">
        <f>(Inputs!$B$14*C28+((Inputs!$B$15-Inputs!$B$14)/PI())*(1-COS(PI()*C28)))/(Inputs!$B$14+2*(Inputs!$B$15-Inputs!$B$14)/PI())</f>
        <v/>
      </c>
      <c r="E28" s="16">
        <f>MIN(MAX((C28-(Inputs!$B$5-1)/(Inputs!$B$6-1))/(1-2*(Inputs!$B$5-1)/(Inputs!$B$6-1)),0),1)</f>
        <v/>
      </c>
      <c r="F28" s="17">
        <f>Inputs!$B$11*EXP(-((E28-Inputs!$B$7)^2)/(2*Inputs!$B$8^2))</f>
        <v/>
      </c>
      <c r="G28" s="18">
        <f>Inputs!$B$3+(Inputs!$B$4-Inputs!$B$3)*F28</f>
        <v/>
      </c>
      <c r="H28" s="15">
        <f>INT(G28)&amp;"'-"&amp;TEXT((G28-INT(G28))*12,"0.00")&amp;""""</f>
        <v/>
      </c>
      <c r="I28" s="18">
        <f>Inputs!$B$12*(G28-Inputs!$B$3)</f>
        <v/>
      </c>
      <c r="J28" s="15">
        <f>MIN(INT(E28*11),10)</f>
        <v/>
      </c>
      <c r="K28" s="16">
        <f>(J28+1)/11-E28</f>
        <v/>
      </c>
      <c r="L28" s="16">
        <f>E28-J28/11</f>
        <v/>
      </c>
      <c r="M28" s="19">
        <f>INDEX('Spline Math'!$O$2:$O$13,J28+1)*K28^3/(6*(1/11))+INDEX('Spline Math'!$O$2:$O$13,J28+2)*L28^3/(6*(1/11))+(INDEX(Inputs!$C$19:$C$30,J28+1)-INDEX('Spline Math'!$O$2:$O$13,J28+1)*(1/11)^2/6)*K28/(1/11)+(INDEX(Inputs!$C$19:$C$30,J28+2)-INDEX('Spline Math'!$O$2:$O$13,J28+2)*(1/11)^2/6)*L28/(1/11)</f>
        <v/>
      </c>
      <c r="N28" s="15">
        <f>MIN(INT(C28*11),10)</f>
        <v/>
      </c>
      <c r="O28" s="16">
        <f>(N28+1)/11-C28</f>
        <v/>
      </c>
      <c r="P28" s="16">
        <f>C28-N28/11</f>
        <v/>
      </c>
      <c r="Q28" s="19">
        <f>INDEX('Spline Math'!$S$2:$S$13,N28+1)*O28^3/(6*(1/11))+INDEX('Spline Math'!$S$2:$S$13,N28+2)*P28^3/(6*(1/11))+(INDEX(Inputs!$D$19:$D$30,N28+1)-INDEX('Spline Math'!$S$2:$S$13,N28+1)*(1/11)^2/6)*O28/(1/11)+(INDEX(Inputs!$D$19:$D$30,N28+2)-INDEX('Spline Math'!$S$2:$S$13,N28+2)*(1/11)^2/6)*P28/(1/11)</f>
        <v/>
      </c>
      <c r="R28" s="19">
        <f>G28*RADIANS(Q28)</f>
        <v/>
      </c>
      <c r="S28" s="19">
        <f>360-Q28</f>
        <v/>
      </c>
      <c r="T28" s="19">
        <f>G28*RADIANS(S28)</f>
        <v/>
      </c>
    </row>
    <row r="29">
      <c r="A29" s="14" t="n">
        <v>27</v>
      </c>
      <c r="B29" s="15">
        <f>A29-1</f>
        <v/>
      </c>
      <c r="C29" s="16">
        <f>B29/(Inputs!$B$6-1)</f>
        <v/>
      </c>
      <c r="D29" s="16">
        <f>(Inputs!$B$14*C29+((Inputs!$B$15-Inputs!$B$14)/PI())*(1-COS(PI()*C29)))/(Inputs!$B$14+2*(Inputs!$B$15-Inputs!$B$14)/PI())</f>
        <v/>
      </c>
      <c r="E29" s="16">
        <f>MIN(MAX((C29-(Inputs!$B$5-1)/(Inputs!$B$6-1))/(1-2*(Inputs!$B$5-1)/(Inputs!$B$6-1)),0),1)</f>
        <v/>
      </c>
      <c r="F29" s="17">
        <f>Inputs!$B$11*EXP(-((E29-Inputs!$B$7)^2)/(2*Inputs!$B$8^2))</f>
        <v/>
      </c>
      <c r="G29" s="18">
        <f>Inputs!$B$3+(Inputs!$B$4-Inputs!$B$3)*F29</f>
        <v/>
      </c>
      <c r="H29" s="15">
        <f>INT(G29)&amp;"'-"&amp;TEXT((G29-INT(G29))*12,"0.00")&amp;""""</f>
        <v/>
      </c>
      <c r="I29" s="18">
        <f>Inputs!$B$12*(G29-Inputs!$B$3)</f>
        <v/>
      </c>
      <c r="J29" s="15">
        <f>MIN(INT(E29*11),10)</f>
        <v/>
      </c>
      <c r="K29" s="16">
        <f>(J29+1)/11-E29</f>
        <v/>
      </c>
      <c r="L29" s="16">
        <f>E29-J29/11</f>
        <v/>
      </c>
      <c r="M29" s="19">
        <f>INDEX('Spline Math'!$O$2:$O$13,J29+1)*K29^3/(6*(1/11))+INDEX('Spline Math'!$O$2:$O$13,J29+2)*L29^3/(6*(1/11))+(INDEX(Inputs!$C$19:$C$30,J29+1)-INDEX('Spline Math'!$O$2:$O$13,J29+1)*(1/11)^2/6)*K29/(1/11)+(INDEX(Inputs!$C$19:$C$30,J29+2)-INDEX('Spline Math'!$O$2:$O$13,J29+2)*(1/11)^2/6)*L29/(1/11)</f>
        <v/>
      </c>
      <c r="N29" s="15">
        <f>MIN(INT(C29*11),10)</f>
        <v/>
      </c>
      <c r="O29" s="16">
        <f>(N29+1)/11-C29</f>
        <v/>
      </c>
      <c r="P29" s="16">
        <f>C29-N29/11</f>
        <v/>
      </c>
      <c r="Q29" s="19">
        <f>INDEX('Spline Math'!$S$2:$S$13,N29+1)*O29^3/(6*(1/11))+INDEX('Spline Math'!$S$2:$S$13,N29+2)*P29^3/(6*(1/11))+(INDEX(Inputs!$D$19:$D$30,N29+1)-INDEX('Spline Math'!$S$2:$S$13,N29+1)*(1/11)^2/6)*O29/(1/11)+(INDEX(Inputs!$D$19:$D$30,N29+2)-INDEX('Spline Math'!$S$2:$S$13,N29+2)*(1/11)^2/6)*P29/(1/11)</f>
        <v/>
      </c>
      <c r="R29" s="19">
        <f>G29*RADIANS(Q29)</f>
        <v/>
      </c>
      <c r="S29" s="19">
        <f>360-Q29</f>
        <v/>
      </c>
      <c r="T29" s="19">
        <f>G29*RADIANS(S29)</f>
        <v/>
      </c>
    </row>
    <row r="30">
      <c r="A30" s="14" t="n">
        <v>28</v>
      </c>
      <c r="B30" s="15">
        <f>A30-1</f>
        <v/>
      </c>
      <c r="C30" s="16">
        <f>B30/(Inputs!$B$6-1)</f>
        <v/>
      </c>
      <c r="D30" s="16">
        <f>(Inputs!$B$14*C30+((Inputs!$B$15-Inputs!$B$14)/PI())*(1-COS(PI()*C30)))/(Inputs!$B$14+2*(Inputs!$B$15-Inputs!$B$14)/PI())</f>
        <v/>
      </c>
      <c r="E30" s="16">
        <f>MIN(MAX((C30-(Inputs!$B$5-1)/(Inputs!$B$6-1))/(1-2*(Inputs!$B$5-1)/(Inputs!$B$6-1)),0),1)</f>
        <v/>
      </c>
      <c r="F30" s="17">
        <f>Inputs!$B$11*EXP(-((E30-Inputs!$B$7)^2)/(2*Inputs!$B$8^2))</f>
        <v/>
      </c>
      <c r="G30" s="18">
        <f>Inputs!$B$3+(Inputs!$B$4-Inputs!$B$3)*F30</f>
        <v/>
      </c>
      <c r="H30" s="15">
        <f>INT(G30)&amp;"'-"&amp;TEXT((G30-INT(G30))*12,"0.00")&amp;""""</f>
        <v/>
      </c>
      <c r="I30" s="18">
        <f>Inputs!$B$12*(G30-Inputs!$B$3)</f>
        <v/>
      </c>
      <c r="J30" s="15">
        <f>MIN(INT(E30*11),10)</f>
        <v/>
      </c>
      <c r="K30" s="16">
        <f>(J30+1)/11-E30</f>
        <v/>
      </c>
      <c r="L30" s="16">
        <f>E30-J30/11</f>
        <v/>
      </c>
      <c r="M30" s="19">
        <f>INDEX('Spline Math'!$O$2:$O$13,J30+1)*K30^3/(6*(1/11))+INDEX('Spline Math'!$O$2:$O$13,J30+2)*L30^3/(6*(1/11))+(INDEX(Inputs!$C$19:$C$30,J30+1)-INDEX('Spline Math'!$O$2:$O$13,J30+1)*(1/11)^2/6)*K30/(1/11)+(INDEX(Inputs!$C$19:$C$30,J30+2)-INDEX('Spline Math'!$O$2:$O$13,J30+2)*(1/11)^2/6)*L30/(1/11)</f>
        <v/>
      </c>
      <c r="N30" s="15">
        <f>MIN(INT(C30*11),10)</f>
        <v/>
      </c>
      <c r="O30" s="16">
        <f>(N30+1)/11-C30</f>
        <v/>
      </c>
      <c r="P30" s="16">
        <f>C30-N30/11</f>
        <v/>
      </c>
      <c r="Q30" s="19">
        <f>INDEX('Spline Math'!$S$2:$S$13,N30+1)*O30^3/(6*(1/11))+INDEX('Spline Math'!$S$2:$S$13,N30+2)*P30^3/(6*(1/11))+(INDEX(Inputs!$D$19:$D$30,N30+1)-INDEX('Spline Math'!$S$2:$S$13,N30+1)*(1/11)^2/6)*O30/(1/11)+(INDEX(Inputs!$D$19:$D$30,N30+2)-INDEX('Spline Math'!$S$2:$S$13,N30+2)*(1/11)^2/6)*P30/(1/11)</f>
        <v/>
      </c>
      <c r="R30" s="19">
        <f>G30*RADIANS(Q30)</f>
        <v/>
      </c>
      <c r="S30" s="19">
        <f>360-Q30</f>
        <v/>
      </c>
      <c r="T30" s="19">
        <f>G30*RADIANS(S30)</f>
        <v/>
      </c>
    </row>
    <row r="31">
      <c r="A31" s="14" t="n">
        <v>29</v>
      </c>
      <c r="B31" s="15">
        <f>A31-1</f>
        <v/>
      </c>
      <c r="C31" s="16">
        <f>B31/(Inputs!$B$6-1)</f>
        <v/>
      </c>
      <c r="D31" s="16">
        <f>(Inputs!$B$14*C31+((Inputs!$B$15-Inputs!$B$14)/PI())*(1-COS(PI()*C31)))/(Inputs!$B$14+2*(Inputs!$B$15-Inputs!$B$14)/PI())</f>
        <v/>
      </c>
      <c r="E31" s="16">
        <f>MIN(MAX((C31-(Inputs!$B$5-1)/(Inputs!$B$6-1))/(1-2*(Inputs!$B$5-1)/(Inputs!$B$6-1)),0),1)</f>
        <v/>
      </c>
      <c r="F31" s="17">
        <f>Inputs!$B$11*EXP(-((E31-Inputs!$B$7)^2)/(2*Inputs!$B$8^2))</f>
        <v/>
      </c>
      <c r="G31" s="18">
        <f>Inputs!$B$3+(Inputs!$B$4-Inputs!$B$3)*F31</f>
        <v/>
      </c>
      <c r="H31" s="15">
        <f>INT(G31)&amp;"'-"&amp;TEXT((G31-INT(G31))*12,"0.00")&amp;""""</f>
        <v/>
      </c>
      <c r="I31" s="18">
        <f>Inputs!$B$12*(G31-Inputs!$B$3)</f>
        <v/>
      </c>
      <c r="J31" s="15">
        <f>MIN(INT(E31*11),10)</f>
        <v/>
      </c>
      <c r="K31" s="16">
        <f>(J31+1)/11-E31</f>
        <v/>
      </c>
      <c r="L31" s="16">
        <f>E31-J31/11</f>
        <v/>
      </c>
      <c r="M31" s="19">
        <f>INDEX('Spline Math'!$O$2:$O$13,J31+1)*K31^3/(6*(1/11))+INDEX('Spline Math'!$O$2:$O$13,J31+2)*L31^3/(6*(1/11))+(INDEX(Inputs!$C$19:$C$30,J31+1)-INDEX('Spline Math'!$O$2:$O$13,J31+1)*(1/11)^2/6)*K31/(1/11)+(INDEX(Inputs!$C$19:$C$30,J31+2)-INDEX('Spline Math'!$O$2:$O$13,J31+2)*(1/11)^2/6)*L31/(1/11)</f>
        <v/>
      </c>
      <c r="N31" s="15">
        <f>MIN(INT(C31*11),10)</f>
        <v/>
      </c>
      <c r="O31" s="16">
        <f>(N31+1)/11-C31</f>
        <v/>
      </c>
      <c r="P31" s="16">
        <f>C31-N31/11</f>
        <v/>
      </c>
      <c r="Q31" s="19">
        <f>INDEX('Spline Math'!$S$2:$S$13,N31+1)*O31^3/(6*(1/11))+INDEX('Spline Math'!$S$2:$S$13,N31+2)*P31^3/(6*(1/11))+(INDEX(Inputs!$D$19:$D$30,N31+1)-INDEX('Spline Math'!$S$2:$S$13,N31+1)*(1/11)^2/6)*O31/(1/11)+(INDEX(Inputs!$D$19:$D$30,N31+2)-INDEX('Spline Math'!$S$2:$S$13,N31+2)*(1/11)^2/6)*P31/(1/11)</f>
        <v/>
      </c>
      <c r="R31" s="19">
        <f>G31*RADIANS(Q31)</f>
        <v/>
      </c>
      <c r="S31" s="19">
        <f>360-Q31</f>
        <v/>
      </c>
      <c r="T31" s="19">
        <f>G31*RADIANS(S31)</f>
        <v/>
      </c>
    </row>
    <row r="32">
      <c r="A32" s="14" t="n">
        <v>30</v>
      </c>
      <c r="B32" s="15">
        <f>A32-1</f>
        <v/>
      </c>
      <c r="C32" s="16">
        <f>B32/(Inputs!$B$6-1)</f>
        <v/>
      </c>
      <c r="D32" s="16">
        <f>(Inputs!$B$14*C32+((Inputs!$B$15-Inputs!$B$14)/PI())*(1-COS(PI()*C32)))/(Inputs!$B$14+2*(Inputs!$B$15-Inputs!$B$14)/PI())</f>
        <v/>
      </c>
      <c r="E32" s="16">
        <f>MIN(MAX((C32-(Inputs!$B$5-1)/(Inputs!$B$6-1))/(1-2*(Inputs!$B$5-1)/(Inputs!$B$6-1)),0),1)</f>
        <v/>
      </c>
      <c r="F32" s="17">
        <f>Inputs!$B$11*EXP(-((E32-Inputs!$B$7)^2)/(2*Inputs!$B$8^2))</f>
        <v/>
      </c>
      <c r="G32" s="18">
        <f>Inputs!$B$3+(Inputs!$B$4-Inputs!$B$3)*F32</f>
        <v/>
      </c>
      <c r="H32" s="15">
        <f>INT(G32)&amp;"'-"&amp;TEXT((G32-INT(G32))*12,"0.00")&amp;""""</f>
        <v/>
      </c>
      <c r="I32" s="18">
        <f>Inputs!$B$12*(G32-Inputs!$B$3)</f>
        <v/>
      </c>
      <c r="J32" s="15">
        <f>MIN(INT(E32*11),10)</f>
        <v/>
      </c>
      <c r="K32" s="16">
        <f>(J32+1)/11-E32</f>
        <v/>
      </c>
      <c r="L32" s="16">
        <f>E32-J32/11</f>
        <v/>
      </c>
      <c r="M32" s="19">
        <f>INDEX('Spline Math'!$O$2:$O$13,J32+1)*K32^3/(6*(1/11))+INDEX('Spline Math'!$O$2:$O$13,J32+2)*L32^3/(6*(1/11))+(INDEX(Inputs!$C$19:$C$30,J32+1)-INDEX('Spline Math'!$O$2:$O$13,J32+1)*(1/11)^2/6)*K32/(1/11)+(INDEX(Inputs!$C$19:$C$30,J32+2)-INDEX('Spline Math'!$O$2:$O$13,J32+2)*(1/11)^2/6)*L32/(1/11)</f>
        <v/>
      </c>
      <c r="N32" s="15">
        <f>MIN(INT(C32*11),10)</f>
        <v/>
      </c>
      <c r="O32" s="16">
        <f>(N32+1)/11-C32</f>
        <v/>
      </c>
      <c r="P32" s="16">
        <f>C32-N32/11</f>
        <v/>
      </c>
      <c r="Q32" s="19">
        <f>INDEX('Spline Math'!$S$2:$S$13,N32+1)*O32^3/(6*(1/11))+INDEX('Spline Math'!$S$2:$S$13,N32+2)*P32^3/(6*(1/11))+(INDEX(Inputs!$D$19:$D$30,N32+1)-INDEX('Spline Math'!$S$2:$S$13,N32+1)*(1/11)^2/6)*O32/(1/11)+(INDEX(Inputs!$D$19:$D$30,N32+2)-INDEX('Spline Math'!$S$2:$S$13,N32+2)*(1/11)^2/6)*P32/(1/11)</f>
        <v/>
      </c>
      <c r="R32" s="19">
        <f>G32*RADIANS(Q32)</f>
        <v/>
      </c>
      <c r="S32" s="19">
        <f>360-Q32</f>
        <v/>
      </c>
      <c r="T32" s="19">
        <f>G32*RADIANS(S32)</f>
        <v/>
      </c>
    </row>
    <row r="33">
      <c r="A33" s="14" t="n">
        <v>31</v>
      </c>
      <c r="B33" s="15">
        <f>A33-1</f>
        <v/>
      </c>
      <c r="C33" s="16">
        <f>B33/(Inputs!$B$6-1)</f>
        <v/>
      </c>
      <c r="D33" s="16">
        <f>(Inputs!$B$14*C33+((Inputs!$B$15-Inputs!$B$14)/PI())*(1-COS(PI()*C33)))/(Inputs!$B$14+2*(Inputs!$B$15-Inputs!$B$14)/PI())</f>
        <v/>
      </c>
      <c r="E33" s="16">
        <f>MIN(MAX((C33-(Inputs!$B$5-1)/(Inputs!$B$6-1))/(1-2*(Inputs!$B$5-1)/(Inputs!$B$6-1)),0),1)</f>
        <v/>
      </c>
      <c r="F33" s="17">
        <f>Inputs!$B$11*EXP(-((E33-Inputs!$B$7)^2)/(2*Inputs!$B$8^2))</f>
        <v/>
      </c>
      <c r="G33" s="18">
        <f>Inputs!$B$3+(Inputs!$B$4-Inputs!$B$3)*F33</f>
        <v/>
      </c>
      <c r="H33" s="15">
        <f>INT(G33)&amp;"'-"&amp;TEXT((G33-INT(G33))*12,"0.00")&amp;""""</f>
        <v/>
      </c>
      <c r="I33" s="18">
        <f>Inputs!$B$12*(G33-Inputs!$B$3)</f>
        <v/>
      </c>
      <c r="J33" s="15">
        <f>MIN(INT(E33*11),10)</f>
        <v/>
      </c>
      <c r="K33" s="16">
        <f>(J33+1)/11-E33</f>
        <v/>
      </c>
      <c r="L33" s="16">
        <f>E33-J33/11</f>
        <v/>
      </c>
      <c r="M33" s="19">
        <f>INDEX('Spline Math'!$O$2:$O$13,J33+1)*K33^3/(6*(1/11))+INDEX('Spline Math'!$O$2:$O$13,J33+2)*L33^3/(6*(1/11))+(INDEX(Inputs!$C$19:$C$30,J33+1)-INDEX('Spline Math'!$O$2:$O$13,J33+1)*(1/11)^2/6)*K33/(1/11)+(INDEX(Inputs!$C$19:$C$30,J33+2)-INDEX('Spline Math'!$O$2:$O$13,J33+2)*(1/11)^2/6)*L33/(1/11)</f>
        <v/>
      </c>
      <c r="N33" s="15">
        <f>MIN(INT(C33*11),10)</f>
        <v/>
      </c>
      <c r="O33" s="16">
        <f>(N33+1)/11-C33</f>
        <v/>
      </c>
      <c r="P33" s="16">
        <f>C33-N33/11</f>
        <v/>
      </c>
      <c r="Q33" s="19">
        <f>INDEX('Spline Math'!$S$2:$S$13,N33+1)*O33^3/(6*(1/11))+INDEX('Spline Math'!$S$2:$S$13,N33+2)*P33^3/(6*(1/11))+(INDEX(Inputs!$D$19:$D$30,N33+1)-INDEX('Spline Math'!$S$2:$S$13,N33+1)*(1/11)^2/6)*O33/(1/11)+(INDEX(Inputs!$D$19:$D$30,N33+2)-INDEX('Spline Math'!$S$2:$S$13,N33+2)*(1/11)^2/6)*P33/(1/11)</f>
        <v/>
      </c>
      <c r="R33" s="19">
        <f>G33*RADIANS(Q33)</f>
        <v/>
      </c>
      <c r="S33" s="19">
        <f>360-Q33</f>
        <v/>
      </c>
      <c r="T33" s="19">
        <f>G33*RADIANS(S33)</f>
        <v/>
      </c>
    </row>
    <row r="34">
      <c r="A34" s="14" t="n">
        <v>32</v>
      </c>
      <c r="B34" s="15">
        <f>A34-1</f>
        <v/>
      </c>
      <c r="C34" s="16">
        <f>B34/(Inputs!$B$6-1)</f>
        <v/>
      </c>
      <c r="D34" s="16">
        <f>(Inputs!$B$14*C34+((Inputs!$B$15-Inputs!$B$14)/PI())*(1-COS(PI()*C34)))/(Inputs!$B$14+2*(Inputs!$B$15-Inputs!$B$14)/PI())</f>
        <v/>
      </c>
      <c r="E34" s="16">
        <f>MIN(MAX((C34-(Inputs!$B$5-1)/(Inputs!$B$6-1))/(1-2*(Inputs!$B$5-1)/(Inputs!$B$6-1)),0),1)</f>
        <v/>
      </c>
      <c r="F34" s="17">
        <f>Inputs!$B$11*EXP(-((E34-Inputs!$B$7)^2)/(2*Inputs!$B$8^2))</f>
        <v/>
      </c>
      <c r="G34" s="18">
        <f>Inputs!$B$3+(Inputs!$B$4-Inputs!$B$3)*F34</f>
        <v/>
      </c>
      <c r="H34" s="15">
        <f>INT(G34)&amp;"'-"&amp;TEXT((G34-INT(G34))*12,"0.00")&amp;""""</f>
        <v/>
      </c>
      <c r="I34" s="18">
        <f>Inputs!$B$12*(G34-Inputs!$B$3)</f>
        <v/>
      </c>
      <c r="J34" s="15">
        <f>MIN(INT(E34*11),10)</f>
        <v/>
      </c>
      <c r="K34" s="16">
        <f>(J34+1)/11-E34</f>
        <v/>
      </c>
      <c r="L34" s="16">
        <f>E34-J34/11</f>
        <v/>
      </c>
      <c r="M34" s="19">
        <f>INDEX('Spline Math'!$O$2:$O$13,J34+1)*K34^3/(6*(1/11))+INDEX('Spline Math'!$O$2:$O$13,J34+2)*L34^3/(6*(1/11))+(INDEX(Inputs!$C$19:$C$30,J34+1)-INDEX('Spline Math'!$O$2:$O$13,J34+1)*(1/11)^2/6)*K34/(1/11)+(INDEX(Inputs!$C$19:$C$30,J34+2)-INDEX('Spline Math'!$O$2:$O$13,J34+2)*(1/11)^2/6)*L34/(1/11)</f>
        <v/>
      </c>
      <c r="N34" s="15">
        <f>MIN(INT(C34*11),10)</f>
        <v/>
      </c>
      <c r="O34" s="16">
        <f>(N34+1)/11-C34</f>
        <v/>
      </c>
      <c r="P34" s="16">
        <f>C34-N34/11</f>
        <v/>
      </c>
      <c r="Q34" s="19">
        <f>INDEX('Spline Math'!$S$2:$S$13,N34+1)*O34^3/(6*(1/11))+INDEX('Spline Math'!$S$2:$S$13,N34+2)*P34^3/(6*(1/11))+(INDEX(Inputs!$D$19:$D$30,N34+1)-INDEX('Spline Math'!$S$2:$S$13,N34+1)*(1/11)^2/6)*O34/(1/11)+(INDEX(Inputs!$D$19:$D$30,N34+2)-INDEX('Spline Math'!$S$2:$S$13,N34+2)*(1/11)^2/6)*P34/(1/11)</f>
        <v/>
      </c>
      <c r="R34" s="19">
        <f>G34*RADIANS(Q34)</f>
        <v/>
      </c>
      <c r="S34" s="19">
        <f>360-Q34</f>
        <v/>
      </c>
      <c r="T34" s="19">
        <f>G34*RADIANS(S34)</f>
        <v/>
      </c>
    </row>
    <row r="35">
      <c r="A35" s="14" t="n">
        <v>33</v>
      </c>
      <c r="B35" s="15">
        <f>A35-1</f>
        <v/>
      </c>
      <c r="C35" s="16">
        <f>B35/(Inputs!$B$6-1)</f>
        <v/>
      </c>
      <c r="D35" s="16">
        <f>(Inputs!$B$14*C35+((Inputs!$B$15-Inputs!$B$14)/PI())*(1-COS(PI()*C35)))/(Inputs!$B$14+2*(Inputs!$B$15-Inputs!$B$14)/PI())</f>
        <v/>
      </c>
      <c r="E35" s="16">
        <f>MIN(MAX((C35-(Inputs!$B$5-1)/(Inputs!$B$6-1))/(1-2*(Inputs!$B$5-1)/(Inputs!$B$6-1)),0),1)</f>
        <v/>
      </c>
      <c r="F35" s="17">
        <f>Inputs!$B$11*EXP(-((E35-Inputs!$B$7)^2)/(2*Inputs!$B$8^2))</f>
        <v/>
      </c>
      <c r="G35" s="18">
        <f>Inputs!$B$3+(Inputs!$B$4-Inputs!$B$3)*F35</f>
        <v/>
      </c>
      <c r="H35" s="15">
        <f>INT(G35)&amp;"'-"&amp;TEXT((G35-INT(G35))*12,"0.00")&amp;""""</f>
        <v/>
      </c>
      <c r="I35" s="18">
        <f>Inputs!$B$12*(G35-Inputs!$B$3)</f>
        <v/>
      </c>
      <c r="J35" s="15">
        <f>MIN(INT(E35*11),10)</f>
        <v/>
      </c>
      <c r="K35" s="16">
        <f>(J35+1)/11-E35</f>
        <v/>
      </c>
      <c r="L35" s="16">
        <f>E35-J35/11</f>
        <v/>
      </c>
      <c r="M35" s="19">
        <f>INDEX('Spline Math'!$O$2:$O$13,J35+1)*K35^3/(6*(1/11))+INDEX('Spline Math'!$O$2:$O$13,J35+2)*L35^3/(6*(1/11))+(INDEX(Inputs!$C$19:$C$30,J35+1)-INDEX('Spline Math'!$O$2:$O$13,J35+1)*(1/11)^2/6)*K35/(1/11)+(INDEX(Inputs!$C$19:$C$30,J35+2)-INDEX('Spline Math'!$O$2:$O$13,J35+2)*(1/11)^2/6)*L35/(1/11)</f>
        <v/>
      </c>
      <c r="N35" s="15">
        <f>MIN(INT(C35*11),10)</f>
        <v/>
      </c>
      <c r="O35" s="16">
        <f>(N35+1)/11-C35</f>
        <v/>
      </c>
      <c r="P35" s="16">
        <f>C35-N35/11</f>
        <v/>
      </c>
      <c r="Q35" s="19">
        <f>INDEX('Spline Math'!$S$2:$S$13,N35+1)*O35^3/(6*(1/11))+INDEX('Spline Math'!$S$2:$S$13,N35+2)*P35^3/(6*(1/11))+(INDEX(Inputs!$D$19:$D$30,N35+1)-INDEX('Spline Math'!$S$2:$S$13,N35+1)*(1/11)^2/6)*O35/(1/11)+(INDEX(Inputs!$D$19:$D$30,N35+2)-INDEX('Spline Math'!$S$2:$S$13,N35+2)*(1/11)^2/6)*P35/(1/11)</f>
        <v/>
      </c>
      <c r="R35" s="19">
        <f>G35*RADIANS(Q35)</f>
        <v/>
      </c>
      <c r="S35" s="19">
        <f>360-Q35</f>
        <v/>
      </c>
      <c r="T35" s="19">
        <f>G35*RADIANS(S35)</f>
        <v/>
      </c>
    </row>
    <row r="36">
      <c r="A36" s="14" t="n">
        <v>34</v>
      </c>
      <c r="B36" s="15">
        <f>A36-1</f>
        <v/>
      </c>
      <c r="C36" s="16">
        <f>B36/(Inputs!$B$6-1)</f>
        <v/>
      </c>
      <c r="D36" s="16">
        <f>(Inputs!$B$14*C36+((Inputs!$B$15-Inputs!$B$14)/PI())*(1-COS(PI()*C36)))/(Inputs!$B$14+2*(Inputs!$B$15-Inputs!$B$14)/PI())</f>
        <v/>
      </c>
      <c r="E36" s="16">
        <f>MIN(MAX((C36-(Inputs!$B$5-1)/(Inputs!$B$6-1))/(1-2*(Inputs!$B$5-1)/(Inputs!$B$6-1)),0),1)</f>
        <v/>
      </c>
      <c r="F36" s="17">
        <f>Inputs!$B$11*EXP(-((E36-Inputs!$B$7)^2)/(2*Inputs!$B$8^2))</f>
        <v/>
      </c>
      <c r="G36" s="18">
        <f>Inputs!$B$3+(Inputs!$B$4-Inputs!$B$3)*F36</f>
        <v/>
      </c>
      <c r="H36" s="15">
        <f>INT(G36)&amp;"'-"&amp;TEXT((G36-INT(G36))*12,"0.00")&amp;""""</f>
        <v/>
      </c>
      <c r="I36" s="18">
        <f>Inputs!$B$12*(G36-Inputs!$B$3)</f>
        <v/>
      </c>
      <c r="J36" s="15">
        <f>MIN(INT(E36*11),10)</f>
        <v/>
      </c>
      <c r="K36" s="16">
        <f>(J36+1)/11-E36</f>
        <v/>
      </c>
      <c r="L36" s="16">
        <f>E36-J36/11</f>
        <v/>
      </c>
      <c r="M36" s="19">
        <f>INDEX('Spline Math'!$O$2:$O$13,J36+1)*K36^3/(6*(1/11))+INDEX('Spline Math'!$O$2:$O$13,J36+2)*L36^3/(6*(1/11))+(INDEX(Inputs!$C$19:$C$30,J36+1)-INDEX('Spline Math'!$O$2:$O$13,J36+1)*(1/11)^2/6)*K36/(1/11)+(INDEX(Inputs!$C$19:$C$30,J36+2)-INDEX('Spline Math'!$O$2:$O$13,J36+2)*(1/11)^2/6)*L36/(1/11)</f>
        <v/>
      </c>
      <c r="N36" s="15">
        <f>MIN(INT(C36*11),10)</f>
        <v/>
      </c>
      <c r="O36" s="16">
        <f>(N36+1)/11-C36</f>
        <v/>
      </c>
      <c r="P36" s="16">
        <f>C36-N36/11</f>
        <v/>
      </c>
      <c r="Q36" s="19">
        <f>INDEX('Spline Math'!$S$2:$S$13,N36+1)*O36^3/(6*(1/11))+INDEX('Spline Math'!$S$2:$S$13,N36+2)*P36^3/(6*(1/11))+(INDEX(Inputs!$D$19:$D$30,N36+1)-INDEX('Spline Math'!$S$2:$S$13,N36+1)*(1/11)^2/6)*O36/(1/11)+(INDEX(Inputs!$D$19:$D$30,N36+2)-INDEX('Spline Math'!$S$2:$S$13,N36+2)*(1/11)^2/6)*P36/(1/11)</f>
        <v/>
      </c>
      <c r="R36" s="19">
        <f>G36*RADIANS(Q36)</f>
        <v/>
      </c>
      <c r="S36" s="19">
        <f>360-Q36</f>
        <v/>
      </c>
      <c r="T36" s="19">
        <f>G36*RADIANS(S36)</f>
        <v/>
      </c>
    </row>
    <row r="37">
      <c r="A37" s="14" t="n">
        <v>35</v>
      </c>
      <c r="B37" s="15">
        <f>A37-1</f>
        <v/>
      </c>
      <c r="C37" s="16">
        <f>B37/(Inputs!$B$6-1)</f>
        <v/>
      </c>
      <c r="D37" s="16">
        <f>(Inputs!$B$14*C37+((Inputs!$B$15-Inputs!$B$14)/PI())*(1-COS(PI()*C37)))/(Inputs!$B$14+2*(Inputs!$B$15-Inputs!$B$14)/PI())</f>
        <v/>
      </c>
      <c r="E37" s="16">
        <f>MIN(MAX((C37-(Inputs!$B$5-1)/(Inputs!$B$6-1))/(1-2*(Inputs!$B$5-1)/(Inputs!$B$6-1)),0),1)</f>
        <v/>
      </c>
      <c r="F37" s="17">
        <f>Inputs!$B$11*EXP(-((E37-Inputs!$B$7)^2)/(2*Inputs!$B$8^2))</f>
        <v/>
      </c>
      <c r="G37" s="18">
        <f>Inputs!$B$3+(Inputs!$B$4-Inputs!$B$3)*F37</f>
        <v/>
      </c>
      <c r="H37" s="15">
        <f>INT(G37)&amp;"'-"&amp;TEXT((G37-INT(G37))*12,"0.00")&amp;""""</f>
        <v/>
      </c>
      <c r="I37" s="18">
        <f>Inputs!$B$12*(G37-Inputs!$B$3)</f>
        <v/>
      </c>
      <c r="J37" s="15">
        <f>MIN(INT(E37*11),10)</f>
        <v/>
      </c>
      <c r="K37" s="16">
        <f>(J37+1)/11-E37</f>
        <v/>
      </c>
      <c r="L37" s="16">
        <f>E37-J37/11</f>
        <v/>
      </c>
      <c r="M37" s="19">
        <f>INDEX('Spline Math'!$O$2:$O$13,J37+1)*K37^3/(6*(1/11))+INDEX('Spline Math'!$O$2:$O$13,J37+2)*L37^3/(6*(1/11))+(INDEX(Inputs!$C$19:$C$30,J37+1)-INDEX('Spline Math'!$O$2:$O$13,J37+1)*(1/11)^2/6)*K37/(1/11)+(INDEX(Inputs!$C$19:$C$30,J37+2)-INDEX('Spline Math'!$O$2:$O$13,J37+2)*(1/11)^2/6)*L37/(1/11)</f>
        <v/>
      </c>
      <c r="N37" s="15">
        <f>MIN(INT(C37*11),10)</f>
        <v/>
      </c>
      <c r="O37" s="16">
        <f>(N37+1)/11-C37</f>
        <v/>
      </c>
      <c r="P37" s="16">
        <f>C37-N37/11</f>
        <v/>
      </c>
      <c r="Q37" s="19">
        <f>INDEX('Spline Math'!$S$2:$S$13,N37+1)*O37^3/(6*(1/11))+INDEX('Spline Math'!$S$2:$S$13,N37+2)*P37^3/(6*(1/11))+(INDEX(Inputs!$D$19:$D$30,N37+1)-INDEX('Spline Math'!$S$2:$S$13,N37+1)*(1/11)^2/6)*O37/(1/11)+(INDEX(Inputs!$D$19:$D$30,N37+2)-INDEX('Spline Math'!$S$2:$S$13,N37+2)*(1/11)^2/6)*P37/(1/11)</f>
        <v/>
      </c>
      <c r="R37" s="19">
        <f>G37*RADIANS(Q37)</f>
        <v/>
      </c>
      <c r="S37" s="19">
        <f>360-Q37</f>
        <v/>
      </c>
      <c r="T37" s="19">
        <f>G37*RADIANS(S37)</f>
        <v/>
      </c>
    </row>
    <row r="38">
      <c r="A38" s="14" t="n">
        <v>36</v>
      </c>
      <c r="B38" s="15">
        <f>A38-1</f>
        <v/>
      </c>
      <c r="C38" s="16">
        <f>B38/(Inputs!$B$6-1)</f>
        <v/>
      </c>
      <c r="D38" s="16">
        <f>(Inputs!$B$14*C38+((Inputs!$B$15-Inputs!$B$14)/PI())*(1-COS(PI()*C38)))/(Inputs!$B$14+2*(Inputs!$B$15-Inputs!$B$14)/PI())</f>
        <v/>
      </c>
      <c r="E38" s="16">
        <f>MIN(MAX((C38-(Inputs!$B$5-1)/(Inputs!$B$6-1))/(1-2*(Inputs!$B$5-1)/(Inputs!$B$6-1)),0),1)</f>
        <v/>
      </c>
      <c r="F38" s="17">
        <f>Inputs!$B$11*EXP(-((E38-Inputs!$B$7)^2)/(2*Inputs!$B$8^2))</f>
        <v/>
      </c>
      <c r="G38" s="18">
        <f>Inputs!$B$3+(Inputs!$B$4-Inputs!$B$3)*F38</f>
        <v/>
      </c>
      <c r="H38" s="15">
        <f>INT(G38)&amp;"'-"&amp;TEXT((G38-INT(G38))*12,"0.00")&amp;""""</f>
        <v/>
      </c>
      <c r="I38" s="18">
        <f>Inputs!$B$12*(G38-Inputs!$B$3)</f>
        <v/>
      </c>
      <c r="J38" s="15">
        <f>MIN(INT(E38*11),10)</f>
        <v/>
      </c>
      <c r="K38" s="16">
        <f>(J38+1)/11-E38</f>
        <v/>
      </c>
      <c r="L38" s="16">
        <f>E38-J38/11</f>
        <v/>
      </c>
      <c r="M38" s="19">
        <f>INDEX('Spline Math'!$O$2:$O$13,J38+1)*K38^3/(6*(1/11))+INDEX('Spline Math'!$O$2:$O$13,J38+2)*L38^3/(6*(1/11))+(INDEX(Inputs!$C$19:$C$30,J38+1)-INDEX('Spline Math'!$O$2:$O$13,J38+1)*(1/11)^2/6)*K38/(1/11)+(INDEX(Inputs!$C$19:$C$30,J38+2)-INDEX('Spline Math'!$O$2:$O$13,J38+2)*(1/11)^2/6)*L38/(1/11)</f>
        <v/>
      </c>
      <c r="N38" s="15">
        <f>MIN(INT(C38*11),10)</f>
        <v/>
      </c>
      <c r="O38" s="16">
        <f>(N38+1)/11-C38</f>
        <v/>
      </c>
      <c r="P38" s="16">
        <f>C38-N38/11</f>
        <v/>
      </c>
      <c r="Q38" s="19">
        <f>INDEX('Spline Math'!$S$2:$S$13,N38+1)*O38^3/(6*(1/11))+INDEX('Spline Math'!$S$2:$S$13,N38+2)*P38^3/(6*(1/11))+(INDEX(Inputs!$D$19:$D$30,N38+1)-INDEX('Spline Math'!$S$2:$S$13,N38+1)*(1/11)^2/6)*O38/(1/11)+(INDEX(Inputs!$D$19:$D$30,N38+2)-INDEX('Spline Math'!$S$2:$S$13,N38+2)*(1/11)^2/6)*P38/(1/11)</f>
        <v/>
      </c>
      <c r="R38" s="19">
        <f>G38*RADIANS(Q38)</f>
        <v/>
      </c>
      <c r="S38" s="19">
        <f>360-Q38</f>
        <v/>
      </c>
      <c r="T38" s="19">
        <f>G38*RADIANS(S38)</f>
        <v/>
      </c>
    </row>
    <row r="39">
      <c r="A39" s="14" t="n">
        <v>37</v>
      </c>
      <c r="B39" s="15">
        <f>A39-1</f>
        <v/>
      </c>
      <c r="C39" s="16">
        <f>B39/(Inputs!$B$6-1)</f>
        <v/>
      </c>
      <c r="D39" s="16">
        <f>(Inputs!$B$14*C39+((Inputs!$B$15-Inputs!$B$14)/PI())*(1-COS(PI()*C39)))/(Inputs!$B$14+2*(Inputs!$B$15-Inputs!$B$14)/PI())</f>
        <v/>
      </c>
      <c r="E39" s="16">
        <f>MIN(MAX((C39-(Inputs!$B$5-1)/(Inputs!$B$6-1))/(1-2*(Inputs!$B$5-1)/(Inputs!$B$6-1)),0),1)</f>
        <v/>
      </c>
      <c r="F39" s="17">
        <f>Inputs!$B$11*EXP(-((E39-Inputs!$B$7)^2)/(2*Inputs!$B$8^2))</f>
        <v/>
      </c>
      <c r="G39" s="18">
        <f>Inputs!$B$3+(Inputs!$B$4-Inputs!$B$3)*F39</f>
        <v/>
      </c>
      <c r="H39" s="15">
        <f>INT(G39)&amp;"'-"&amp;TEXT((G39-INT(G39))*12,"0.00")&amp;""""</f>
        <v/>
      </c>
      <c r="I39" s="18">
        <f>Inputs!$B$12*(G39-Inputs!$B$3)</f>
        <v/>
      </c>
      <c r="J39" s="15">
        <f>MIN(INT(E39*11),10)</f>
        <v/>
      </c>
      <c r="K39" s="16">
        <f>(J39+1)/11-E39</f>
        <v/>
      </c>
      <c r="L39" s="16">
        <f>E39-J39/11</f>
        <v/>
      </c>
      <c r="M39" s="19">
        <f>INDEX('Spline Math'!$O$2:$O$13,J39+1)*K39^3/(6*(1/11))+INDEX('Spline Math'!$O$2:$O$13,J39+2)*L39^3/(6*(1/11))+(INDEX(Inputs!$C$19:$C$30,J39+1)-INDEX('Spline Math'!$O$2:$O$13,J39+1)*(1/11)^2/6)*K39/(1/11)+(INDEX(Inputs!$C$19:$C$30,J39+2)-INDEX('Spline Math'!$O$2:$O$13,J39+2)*(1/11)^2/6)*L39/(1/11)</f>
        <v/>
      </c>
      <c r="N39" s="15">
        <f>MIN(INT(C39*11),10)</f>
        <v/>
      </c>
      <c r="O39" s="16">
        <f>(N39+1)/11-C39</f>
        <v/>
      </c>
      <c r="P39" s="16">
        <f>C39-N39/11</f>
        <v/>
      </c>
      <c r="Q39" s="19">
        <f>INDEX('Spline Math'!$S$2:$S$13,N39+1)*O39^3/(6*(1/11))+INDEX('Spline Math'!$S$2:$S$13,N39+2)*P39^3/(6*(1/11))+(INDEX(Inputs!$D$19:$D$30,N39+1)-INDEX('Spline Math'!$S$2:$S$13,N39+1)*(1/11)^2/6)*O39/(1/11)+(INDEX(Inputs!$D$19:$D$30,N39+2)-INDEX('Spline Math'!$S$2:$S$13,N39+2)*(1/11)^2/6)*P39/(1/11)</f>
        <v/>
      </c>
      <c r="R39" s="19">
        <f>G39*RADIANS(Q39)</f>
        <v/>
      </c>
      <c r="S39" s="19">
        <f>360-Q39</f>
        <v/>
      </c>
      <c r="T39" s="19">
        <f>G39*RADIANS(S39)</f>
        <v/>
      </c>
    </row>
    <row r="40">
      <c r="A40" s="14" t="n">
        <v>38</v>
      </c>
      <c r="B40" s="15">
        <f>A40-1</f>
        <v/>
      </c>
      <c r="C40" s="16">
        <f>B40/(Inputs!$B$6-1)</f>
        <v/>
      </c>
      <c r="D40" s="16">
        <f>(Inputs!$B$14*C40+((Inputs!$B$15-Inputs!$B$14)/PI())*(1-COS(PI()*C40)))/(Inputs!$B$14+2*(Inputs!$B$15-Inputs!$B$14)/PI())</f>
        <v/>
      </c>
      <c r="E40" s="16">
        <f>MIN(MAX((C40-(Inputs!$B$5-1)/(Inputs!$B$6-1))/(1-2*(Inputs!$B$5-1)/(Inputs!$B$6-1)),0),1)</f>
        <v/>
      </c>
      <c r="F40" s="17">
        <f>Inputs!$B$11*EXP(-((E40-Inputs!$B$7)^2)/(2*Inputs!$B$8^2))</f>
        <v/>
      </c>
      <c r="G40" s="18">
        <f>Inputs!$B$3+(Inputs!$B$4-Inputs!$B$3)*F40</f>
        <v/>
      </c>
      <c r="H40" s="15">
        <f>INT(G40)&amp;"'-"&amp;TEXT((G40-INT(G40))*12,"0.00")&amp;""""</f>
        <v/>
      </c>
      <c r="I40" s="18">
        <f>Inputs!$B$12*(G40-Inputs!$B$3)</f>
        <v/>
      </c>
      <c r="J40" s="15">
        <f>MIN(INT(E40*11),10)</f>
        <v/>
      </c>
      <c r="K40" s="16">
        <f>(J40+1)/11-E40</f>
        <v/>
      </c>
      <c r="L40" s="16">
        <f>E40-J40/11</f>
        <v/>
      </c>
      <c r="M40" s="19">
        <f>INDEX('Spline Math'!$O$2:$O$13,J40+1)*K40^3/(6*(1/11))+INDEX('Spline Math'!$O$2:$O$13,J40+2)*L40^3/(6*(1/11))+(INDEX(Inputs!$C$19:$C$30,J40+1)-INDEX('Spline Math'!$O$2:$O$13,J40+1)*(1/11)^2/6)*K40/(1/11)+(INDEX(Inputs!$C$19:$C$30,J40+2)-INDEX('Spline Math'!$O$2:$O$13,J40+2)*(1/11)^2/6)*L40/(1/11)</f>
        <v/>
      </c>
      <c r="N40" s="15">
        <f>MIN(INT(C40*11),10)</f>
        <v/>
      </c>
      <c r="O40" s="16">
        <f>(N40+1)/11-C40</f>
        <v/>
      </c>
      <c r="P40" s="16">
        <f>C40-N40/11</f>
        <v/>
      </c>
      <c r="Q40" s="19">
        <f>INDEX('Spline Math'!$S$2:$S$13,N40+1)*O40^3/(6*(1/11))+INDEX('Spline Math'!$S$2:$S$13,N40+2)*P40^3/(6*(1/11))+(INDEX(Inputs!$D$19:$D$30,N40+1)-INDEX('Spline Math'!$S$2:$S$13,N40+1)*(1/11)^2/6)*O40/(1/11)+(INDEX(Inputs!$D$19:$D$30,N40+2)-INDEX('Spline Math'!$S$2:$S$13,N40+2)*(1/11)^2/6)*P40/(1/11)</f>
        <v/>
      </c>
      <c r="R40" s="19">
        <f>G40*RADIANS(Q40)</f>
        <v/>
      </c>
      <c r="S40" s="19">
        <f>360-Q40</f>
        <v/>
      </c>
      <c r="T40" s="19">
        <f>G40*RADIANS(S40)</f>
        <v/>
      </c>
    </row>
    <row r="41">
      <c r="A41" s="14" t="n">
        <v>39</v>
      </c>
      <c r="B41" s="15">
        <f>A41-1</f>
        <v/>
      </c>
      <c r="C41" s="16">
        <f>B41/(Inputs!$B$6-1)</f>
        <v/>
      </c>
      <c r="D41" s="16">
        <f>(Inputs!$B$14*C41+((Inputs!$B$15-Inputs!$B$14)/PI())*(1-COS(PI()*C41)))/(Inputs!$B$14+2*(Inputs!$B$15-Inputs!$B$14)/PI())</f>
        <v/>
      </c>
      <c r="E41" s="16">
        <f>MIN(MAX((C41-(Inputs!$B$5-1)/(Inputs!$B$6-1))/(1-2*(Inputs!$B$5-1)/(Inputs!$B$6-1)),0),1)</f>
        <v/>
      </c>
      <c r="F41" s="17">
        <f>Inputs!$B$11*EXP(-((E41-Inputs!$B$7)^2)/(2*Inputs!$B$8^2))</f>
        <v/>
      </c>
      <c r="G41" s="18">
        <f>Inputs!$B$3+(Inputs!$B$4-Inputs!$B$3)*F41</f>
        <v/>
      </c>
      <c r="H41" s="15">
        <f>INT(G41)&amp;"'-"&amp;TEXT((G41-INT(G41))*12,"0.00")&amp;""""</f>
        <v/>
      </c>
      <c r="I41" s="18">
        <f>Inputs!$B$12*(G41-Inputs!$B$3)</f>
        <v/>
      </c>
      <c r="J41" s="15">
        <f>MIN(INT(E41*11),10)</f>
        <v/>
      </c>
      <c r="K41" s="16">
        <f>(J41+1)/11-E41</f>
        <v/>
      </c>
      <c r="L41" s="16">
        <f>E41-J41/11</f>
        <v/>
      </c>
      <c r="M41" s="19">
        <f>INDEX('Spline Math'!$O$2:$O$13,J41+1)*K41^3/(6*(1/11))+INDEX('Spline Math'!$O$2:$O$13,J41+2)*L41^3/(6*(1/11))+(INDEX(Inputs!$C$19:$C$30,J41+1)-INDEX('Spline Math'!$O$2:$O$13,J41+1)*(1/11)^2/6)*K41/(1/11)+(INDEX(Inputs!$C$19:$C$30,J41+2)-INDEX('Spline Math'!$O$2:$O$13,J41+2)*(1/11)^2/6)*L41/(1/11)</f>
        <v/>
      </c>
      <c r="N41" s="15">
        <f>MIN(INT(C41*11),10)</f>
        <v/>
      </c>
      <c r="O41" s="16">
        <f>(N41+1)/11-C41</f>
        <v/>
      </c>
      <c r="P41" s="16">
        <f>C41-N41/11</f>
        <v/>
      </c>
      <c r="Q41" s="19">
        <f>INDEX('Spline Math'!$S$2:$S$13,N41+1)*O41^3/(6*(1/11))+INDEX('Spline Math'!$S$2:$S$13,N41+2)*P41^3/(6*(1/11))+(INDEX(Inputs!$D$19:$D$30,N41+1)-INDEX('Spline Math'!$S$2:$S$13,N41+1)*(1/11)^2/6)*O41/(1/11)+(INDEX(Inputs!$D$19:$D$30,N41+2)-INDEX('Spline Math'!$S$2:$S$13,N41+2)*(1/11)^2/6)*P41/(1/11)</f>
        <v/>
      </c>
      <c r="R41" s="19">
        <f>G41*RADIANS(Q41)</f>
        <v/>
      </c>
      <c r="S41" s="19">
        <f>360-Q41</f>
        <v/>
      </c>
      <c r="T41" s="19">
        <f>G41*RADIANS(S41)</f>
        <v/>
      </c>
    </row>
    <row r="42">
      <c r="A42" s="14" t="n">
        <v>40</v>
      </c>
      <c r="B42" s="15">
        <f>A42-1</f>
        <v/>
      </c>
      <c r="C42" s="16">
        <f>B42/(Inputs!$B$6-1)</f>
        <v/>
      </c>
      <c r="D42" s="16">
        <f>(Inputs!$B$14*C42+((Inputs!$B$15-Inputs!$B$14)/PI())*(1-COS(PI()*C42)))/(Inputs!$B$14+2*(Inputs!$B$15-Inputs!$B$14)/PI())</f>
        <v/>
      </c>
      <c r="E42" s="16">
        <f>MIN(MAX((C42-(Inputs!$B$5-1)/(Inputs!$B$6-1))/(1-2*(Inputs!$B$5-1)/(Inputs!$B$6-1)),0),1)</f>
        <v/>
      </c>
      <c r="F42" s="17">
        <f>Inputs!$B$11*EXP(-((E42-Inputs!$B$7)^2)/(2*Inputs!$B$8^2))</f>
        <v/>
      </c>
      <c r="G42" s="18">
        <f>Inputs!$B$3+(Inputs!$B$4-Inputs!$B$3)*F42</f>
        <v/>
      </c>
      <c r="H42" s="15">
        <f>INT(G42)&amp;"'-"&amp;TEXT((G42-INT(G42))*12,"0.00")&amp;""""</f>
        <v/>
      </c>
      <c r="I42" s="18">
        <f>Inputs!$B$12*(G42-Inputs!$B$3)</f>
        <v/>
      </c>
      <c r="J42" s="15">
        <f>MIN(INT(E42*11),10)</f>
        <v/>
      </c>
      <c r="K42" s="16">
        <f>(J42+1)/11-E42</f>
        <v/>
      </c>
      <c r="L42" s="16">
        <f>E42-J42/11</f>
        <v/>
      </c>
      <c r="M42" s="19">
        <f>INDEX('Spline Math'!$O$2:$O$13,J42+1)*K42^3/(6*(1/11))+INDEX('Spline Math'!$O$2:$O$13,J42+2)*L42^3/(6*(1/11))+(INDEX(Inputs!$C$19:$C$30,J42+1)-INDEX('Spline Math'!$O$2:$O$13,J42+1)*(1/11)^2/6)*K42/(1/11)+(INDEX(Inputs!$C$19:$C$30,J42+2)-INDEX('Spline Math'!$O$2:$O$13,J42+2)*(1/11)^2/6)*L42/(1/11)</f>
        <v/>
      </c>
      <c r="N42" s="15">
        <f>MIN(INT(C42*11),10)</f>
        <v/>
      </c>
      <c r="O42" s="16">
        <f>(N42+1)/11-C42</f>
        <v/>
      </c>
      <c r="P42" s="16">
        <f>C42-N42/11</f>
        <v/>
      </c>
      <c r="Q42" s="19">
        <f>INDEX('Spline Math'!$S$2:$S$13,N42+1)*O42^3/(6*(1/11))+INDEX('Spline Math'!$S$2:$S$13,N42+2)*P42^3/(6*(1/11))+(INDEX(Inputs!$D$19:$D$30,N42+1)-INDEX('Spline Math'!$S$2:$S$13,N42+1)*(1/11)^2/6)*O42/(1/11)+(INDEX(Inputs!$D$19:$D$30,N42+2)-INDEX('Spline Math'!$S$2:$S$13,N42+2)*(1/11)^2/6)*P42/(1/11)</f>
        <v/>
      </c>
      <c r="R42" s="19">
        <f>G42*RADIANS(Q42)</f>
        <v/>
      </c>
      <c r="S42" s="19">
        <f>360-Q42</f>
        <v/>
      </c>
      <c r="T42" s="19">
        <f>G42*RADIANS(S42)</f>
        <v/>
      </c>
    </row>
    <row r="43">
      <c r="A43" s="14" t="n">
        <v>41</v>
      </c>
      <c r="B43" s="15">
        <f>A43-1</f>
        <v/>
      </c>
      <c r="C43" s="16">
        <f>B43/(Inputs!$B$6-1)</f>
        <v/>
      </c>
      <c r="D43" s="16">
        <f>(Inputs!$B$14*C43+((Inputs!$B$15-Inputs!$B$14)/PI())*(1-COS(PI()*C43)))/(Inputs!$B$14+2*(Inputs!$B$15-Inputs!$B$14)/PI())</f>
        <v/>
      </c>
      <c r="E43" s="16">
        <f>MIN(MAX((C43-(Inputs!$B$5-1)/(Inputs!$B$6-1))/(1-2*(Inputs!$B$5-1)/(Inputs!$B$6-1)),0),1)</f>
        <v/>
      </c>
      <c r="F43" s="17">
        <f>Inputs!$B$11*EXP(-((E43-Inputs!$B$7)^2)/(2*Inputs!$B$8^2))</f>
        <v/>
      </c>
      <c r="G43" s="18">
        <f>Inputs!$B$3+(Inputs!$B$4-Inputs!$B$3)*F43</f>
        <v/>
      </c>
      <c r="H43" s="15">
        <f>INT(G43)&amp;"'-"&amp;TEXT((G43-INT(G43))*12,"0.00")&amp;""""</f>
        <v/>
      </c>
      <c r="I43" s="18">
        <f>Inputs!$B$12*(G43-Inputs!$B$3)</f>
        <v/>
      </c>
      <c r="J43" s="15">
        <f>MIN(INT(E43*11),10)</f>
        <v/>
      </c>
      <c r="K43" s="16">
        <f>(J43+1)/11-E43</f>
        <v/>
      </c>
      <c r="L43" s="16">
        <f>E43-J43/11</f>
        <v/>
      </c>
      <c r="M43" s="19">
        <f>INDEX('Spline Math'!$O$2:$O$13,J43+1)*K43^3/(6*(1/11))+INDEX('Spline Math'!$O$2:$O$13,J43+2)*L43^3/(6*(1/11))+(INDEX(Inputs!$C$19:$C$30,J43+1)-INDEX('Spline Math'!$O$2:$O$13,J43+1)*(1/11)^2/6)*K43/(1/11)+(INDEX(Inputs!$C$19:$C$30,J43+2)-INDEX('Spline Math'!$O$2:$O$13,J43+2)*(1/11)^2/6)*L43/(1/11)</f>
        <v/>
      </c>
      <c r="N43" s="15">
        <f>MIN(INT(C43*11),10)</f>
        <v/>
      </c>
      <c r="O43" s="16">
        <f>(N43+1)/11-C43</f>
        <v/>
      </c>
      <c r="P43" s="16">
        <f>C43-N43/11</f>
        <v/>
      </c>
      <c r="Q43" s="19">
        <f>INDEX('Spline Math'!$S$2:$S$13,N43+1)*O43^3/(6*(1/11))+INDEX('Spline Math'!$S$2:$S$13,N43+2)*P43^3/(6*(1/11))+(INDEX(Inputs!$D$19:$D$30,N43+1)-INDEX('Spline Math'!$S$2:$S$13,N43+1)*(1/11)^2/6)*O43/(1/11)+(INDEX(Inputs!$D$19:$D$30,N43+2)-INDEX('Spline Math'!$S$2:$S$13,N43+2)*(1/11)^2/6)*P43/(1/11)</f>
        <v/>
      </c>
      <c r="R43" s="19">
        <f>G43*RADIANS(Q43)</f>
        <v/>
      </c>
      <c r="S43" s="19">
        <f>360-Q43</f>
        <v/>
      </c>
      <c r="T43" s="19">
        <f>G43*RADIANS(S43)</f>
        <v/>
      </c>
    </row>
    <row r="44">
      <c r="A44" s="14" t="n">
        <v>42</v>
      </c>
      <c r="B44" s="15">
        <f>A44-1</f>
        <v/>
      </c>
      <c r="C44" s="16">
        <f>B44/(Inputs!$B$6-1)</f>
        <v/>
      </c>
      <c r="D44" s="16">
        <f>(Inputs!$B$14*C44+((Inputs!$B$15-Inputs!$B$14)/PI())*(1-COS(PI()*C44)))/(Inputs!$B$14+2*(Inputs!$B$15-Inputs!$B$14)/PI())</f>
        <v/>
      </c>
      <c r="E44" s="16">
        <f>MIN(MAX((C44-(Inputs!$B$5-1)/(Inputs!$B$6-1))/(1-2*(Inputs!$B$5-1)/(Inputs!$B$6-1)),0),1)</f>
        <v/>
      </c>
      <c r="F44" s="17">
        <f>Inputs!$B$11*EXP(-((E44-Inputs!$B$7)^2)/(2*Inputs!$B$8^2))</f>
        <v/>
      </c>
      <c r="G44" s="18">
        <f>Inputs!$B$3+(Inputs!$B$4-Inputs!$B$3)*F44</f>
        <v/>
      </c>
      <c r="H44" s="15">
        <f>INT(G44)&amp;"'-"&amp;TEXT((G44-INT(G44))*12,"0.00")&amp;""""</f>
        <v/>
      </c>
      <c r="I44" s="18">
        <f>Inputs!$B$12*(G44-Inputs!$B$3)</f>
        <v/>
      </c>
      <c r="J44" s="15">
        <f>MIN(INT(E44*11),10)</f>
        <v/>
      </c>
      <c r="K44" s="16">
        <f>(J44+1)/11-E44</f>
        <v/>
      </c>
      <c r="L44" s="16">
        <f>E44-J44/11</f>
        <v/>
      </c>
      <c r="M44" s="19">
        <f>INDEX('Spline Math'!$O$2:$O$13,J44+1)*K44^3/(6*(1/11))+INDEX('Spline Math'!$O$2:$O$13,J44+2)*L44^3/(6*(1/11))+(INDEX(Inputs!$C$19:$C$30,J44+1)-INDEX('Spline Math'!$O$2:$O$13,J44+1)*(1/11)^2/6)*K44/(1/11)+(INDEX(Inputs!$C$19:$C$30,J44+2)-INDEX('Spline Math'!$O$2:$O$13,J44+2)*(1/11)^2/6)*L44/(1/11)</f>
        <v/>
      </c>
      <c r="N44" s="15">
        <f>MIN(INT(C44*11),10)</f>
        <v/>
      </c>
      <c r="O44" s="16">
        <f>(N44+1)/11-C44</f>
        <v/>
      </c>
      <c r="P44" s="16">
        <f>C44-N44/11</f>
        <v/>
      </c>
      <c r="Q44" s="19">
        <f>INDEX('Spline Math'!$S$2:$S$13,N44+1)*O44^3/(6*(1/11))+INDEX('Spline Math'!$S$2:$S$13,N44+2)*P44^3/(6*(1/11))+(INDEX(Inputs!$D$19:$D$30,N44+1)-INDEX('Spline Math'!$S$2:$S$13,N44+1)*(1/11)^2/6)*O44/(1/11)+(INDEX(Inputs!$D$19:$D$30,N44+2)-INDEX('Spline Math'!$S$2:$S$13,N44+2)*(1/11)^2/6)*P44/(1/11)</f>
        <v/>
      </c>
      <c r="R44" s="19">
        <f>G44*RADIANS(Q44)</f>
        <v/>
      </c>
      <c r="S44" s="19">
        <f>360-Q44</f>
        <v/>
      </c>
      <c r="T44" s="19">
        <f>G44*RADIANS(S44)</f>
        <v/>
      </c>
    </row>
    <row r="45">
      <c r="A45" s="14" t="n">
        <v>43</v>
      </c>
      <c r="B45" s="15">
        <f>A45-1</f>
        <v/>
      </c>
      <c r="C45" s="16">
        <f>B45/(Inputs!$B$6-1)</f>
        <v/>
      </c>
      <c r="D45" s="16">
        <f>(Inputs!$B$14*C45+((Inputs!$B$15-Inputs!$B$14)/PI())*(1-COS(PI()*C45)))/(Inputs!$B$14+2*(Inputs!$B$15-Inputs!$B$14)/PI())</f>
        <v/>
      </c>
      <c r="E45" s="16">
        <f>MIN(MAX((C45-(Inputs!$B$5-1)/(Inputs!$B$6-1))/(1-2*(Inputs!$B$5-1)/(Inputs!$B$6-1)),0),1)</f>
        <v/>
      </c>
      <c r="F45" s="17">
        <f>Inputs!$B$11*EXP(-((E45-Inputs!$B$7)^2)/(2*Inputs!$B$8^2))</f>
        <v/>
      </c>
      <c r="G45" s="18">
        <f>Inputs!$B$3+(Inputs!$B$4-Inputs!$B$3)*F45</f>
        <v/>
      </c>
      <c r="H45" s="15">
        <f>INT(G45)&amp;"'-"&amp;TEXT((G45-INT(G45))*12,"0.00")&amp;""""</f>
        <v/>
      </c>
      <c r="I45" s="18">
        <f>Inputs!$B$12*(G45-Inputs!$B$3)</f>
        <v/>
      </c>
      <c r="J45" s="15">
        <f>MIN(INT(E45*11),10)</f>
        <v/>
      </c>
      <c r="K45" s="16">
        <f>(J45+1)/11-E45</f>
        <v/>
      </c>
      <c r="L45" s="16">
        <f>E45-J45/11</f>
        <v/>
      </c>
      <c r="M45" s="19">
        <f>INDEX('Spline Math'!$O$2:$O$13,J45+1)*K45^3/(6*(1/11))+INDEX('Spline Math'!$O$2:$O$13,J45+2)*L45^3/(6*(1/11))+(INDEX(Inputs!$C$19:$C$30,J45+1)-INDEX('Spline Math'!$O$2:$O$13,J45+1)*(1/11)^2/6)*K45/(1/11)+(INDEX(Inputs!$C$19:$C$30,J45+2)-INDEX('Spline Math'!$O$2:$O$13,J45+2)*(1/11)^2/6)*L45/(1/11)</f>
        <v/>
      </c>
      <c r="N45" s="15">
        <f>MIN(INT(C45*11),10)</f>
        <v/>
      </c>
      <c r="O45" s="16">
        <f>(N45+1)/11-C45</f>
        <v/>
      </c>
      <c r="P45" s="16">
        <f>C45-N45/11</f>
        <v/>
      </c>
      <c r="Q45" s="19">
        <f>INDEX('Spline Math'!$S$2:$S$13,N45+1)*O45^3/(6*(1/11))+INDEX('Spline Math'!$S$2:$S$13,N45+2)*P45^3/(6*(1/11))+(INDEX(Inputs!$D$19:$D$30,N45+1)-INDEX('Spline Math'!$S$2:$S$13,N45+1)*(1/11)^2/6)*O45/(1/11)+(INDEX(Inputs!$D$19:$D$30,N45+2)-INDEX('Spline Math'!$S$2:$S$13,N45+2)*(1/11)^2/6)*P45/(1/11)</f>
        <v/>
      </c>
      <c r="R45" s="19">
        <f>G45*RADIANS(Q45)</f>
        <v/>
      </c>
      <c r="S45" s="19">
        <f>360-Q45</f>
        <v/>
      </c>
      <c r="T45" s="19">
        <f>G45*RADIANS(S45)</f>
        <v/>
      </c>
    </row>
    <row r="46">
      <c r="A46" s="14" t="n">
        <v>44</v>
      </c>
      <c r="B46" s="15">
        <f>A46-1</f>
        <v/>
      </c>
      <c r="C46" s="16">
        <f>B46/(Inputs!$B$6-1)</f>
        <v/>
      </c>
      <c r="D46" s="16">
        <f>(Inputs!$B$14*C46+((Inputs!$B$15-Inputs!$B$14)/PI())*(1-COS(PI()*C46)))/(Inputs!$B$14+2*(Inputs!$B$15-Inputs!$B$14)/PI())</f>
        <v/>
      </c>
      <c r="E46" s="16">
        <f>MIN(MAX((C46-(Inputs!$B$5-1)/(Inputs!$B$6-1))/(1-2*(Inputs!$B$5-1)/(Inputs!$B$6-1)),0),1)</f>
        <v/>
      </c>
      <c r="F46" s="17">
        <f>Inputs!$B$11*EXP(-((E46-Inputs!$B$7)^2)/(2*Inputs!$B$8^2))</f>
        <v/>
      </c>
      <c r="G46" s="18">
        <f>Inputs!$B$3+(Inputs!$B$4-Inputs!$B$3)*F46</f>
        <v/>
      </c>
      <c r="H46" s="15">
        <f>INT(G46)&amp;"'-"&amp;TEXT((G46-INT(G46))*12,"0.00")&amp;""""</f>
        <v/>
      </c>
      <c r="I46" s="18">
        <f>Inputs!$B$12*(G46-Inputs!$B$3)</f>
        <v/>
      </c>
      <c r="J46" s="15">
        <f>MIN(INT(E46*11),10)</f>
        <v/>
      </c>
      <c r="K46" s="16">
        <f>(J46+1)/11-E46</f>
        <v/>
      </c>
      <c r="L46" s="16">
        <f>E46-J46/11</f>
        <v/>
      </c>
      <c r="M46" s="19">
        <f>INDEX('Spline Math'!$O$2:$O$13,J46+1)*K46^3/(6*(1/11))+INDEX('Spline Math'!$O$2:$O$13,J46+2)*L46^3/(6*(1/11))+(INDEX(Inputs!$C$19:$C$30,J46+1)-INDEX('Spline Math'!$O$2:$O$13,J46+1)*(1/11)^2/6)*K46/(1/11)+(INDEX(Inputs!$C$19:$C$30,J46+2)-INDEX('Spline Math'!$O$2:$O$13,J46+2)*(1/11)^2/6)*L46/(1/11)</f>
        <v/>
      </c>
      <c r="N46" s="15">
        <f>MIN(INT(C46*11),10)</f>
        <v/>
      </c>
      <c r="O46" s="16">
        <f>(N46+1)/11-C46</f>
        <v/>
      </c>
      <c r="P46" s="16">
        <f>C46-N46/11</f>
        <v/>
      </c>
      <c r="Q46" s="19">
        <f>INDEX('Spline Math'!$S$2:$S$13,N46+1)*O46^3/(6*(1/11))+INDEX('Spline Math'!$S$2:$S$13,N46+2)*P46^3/(6*(1/11))+(INDEX(Inputs!$D$19:$D$30,N46+1)-INDEX('Spline Math'!$S$2:$S$13,N46+1)*(1/11)^2/6)*O46/(1/11)+(INDEX(Inputs!$D$19:$D$30,N46+2)-INDEX('Spline Math'!$S$2:$S$13,N46+2)*(1/11)^2/6)*P46/(1/11)</f>
        <v/>
      </c>
      <c r="R46" s="19">
        <f>G46*RADIANS(Q46)</f>
        <v/>
      </c>
      <c r="S46" s="19">
        <f>360-Q46</f>
        <v/>
      </c>
      <c r="T46" s="19">
        <f>G46*RADIANS(S46)</f>
        <v/>
      </c>
    </row>
    <row r="48">
      <c r="A48" s="10" t="inlineStr">
        <is>
          <t>Columns J-L and N-P are helper steps for the smooth-curve (spline) calculation.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Natural cubic spline through the 12 gene values (reproduces Grasshopper Interpolate: degree 3, uniform knots, evenly spaced points)</t>
        </is>
      </c>
      <c r="O1" s="2" t="inlineStr">
        <is>
          <t>Rot M (all 12)</t>
        </is>
      </c>
      <c r="S1" s="2" t="inlineStr">
        <is>
          <t>Open M (all 12)</t>
        </is>
      </c>
    </row>
    <row r="2">
      <c r="A2" s="2" t="inlineStr">
        <is>
          <t>Tridiagonal matrix (constant)</t>
        </is>
      </c>
      <c r="M2" s="2" t="inlineStr">
        <is>
          <t>Rot RHS</t>
        </is>
      </c>
      <c r="N2" s="2" t="inlineStr">
        <is>
          <t>Rot M (interior)</t>
        </is>
      </c>
      <c r="O2" s="5" t="n">
        <v>0</v>
      </c>
      <c r="P2" s="5" t="n"/>
      <c r="Q2" s="2" t="inlineStr">
        <is>
          <t>Open RHS</t>
        </is>
      </c>
      <c r="R2" s="2" t="inlineStr">
        <is>
          <t>Open M (interior)</t>
        </is>
      </c>
      <c r="S2" s="5" t="n">
        <v>0</v>
      </c>
    </row>
    <row r="3">
      <c r="B3" s="5" t="n">
        <v>4</v>
      </c>
      <c r="C3" s="5" t="n">
        <v>1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M3" s="5">
        <f>6*121*(Inputs!C19-2*Inputs!C20+Inputs!C21)</f>
        <v/>
      </c>
      <c r="N3" s="5">
        <f t="array" ref="N3:N12">MMULT(MINVERSE(B3:K12),M3:M12)</f>
        <v/>
      </c>
      <c r="O3" s="5">
        <f>N3</f>
        <v/>
      </c>
      <c r="P3" s="5" t="n"/>
      <c r="Q3" s="5">
        <f>6*121*(Inputs!D19-2*Inputs!D20+Inputs!D21)</f>
        <v/>
      </c>
      <c r="R3" s="5">
        <f t="array" ref="R3:R12">MMULT(MINVERSE(B3:K12),Q3:Q12)</f>
        <v/>
      </c>
      <c r="S3" s="5">
        <f>R3</f>
        <v/>
      </c>
    </row>
    <row r="4">
      <c r="B4" s="5" t="n">
        <v>1</v>
      </c>
      <c r="C4" s="5" t="n">
        <v>4</v>
      </c>
      <c r="D4" s="5" t="n">
        <v>1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M4" s="5">
        <f>6*121*(Inputs!C20-2*Inputs!C21+Inputs!C22)</f>
        <v/>
      </c>
      <c r="N4" s="5" t="n"/>
      <c r="O4" s="5">
        <f>N4</f>
        <v/>
      </c>
      <c r="P4" s="5" t="n"/>
      <c r="Q4" s="5">
        <f>6*121*(Inputs!D20-2*Inputs!D21+Inputs!D22)</f>
        <v/>
      </c>
      <c r="R4" s="5" t="n"/>
      <c r="S4" s="5">
        <f>R4</f>
        <v/>
      </c>
    </row>
    <row r="5">
      <c r="B5" s="5" t="n">
        <v>0</v>
      </c>
      <c r="C5" s="5" t="n">
        <v>1</v>
      </c>
      <c r="D5" s="5" t="n">
        <v>4</v>
      </c>
      <c r="E5" s="5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M5" s="5">
        <f>6*121*(Inputs!C21-2*Inputs!C22+Inputs!C23)</f>
        <v/>
      </c>
      <c r="N5" s="5" t="n"/>
      <c r="O5" s="5">
        <f>N5</f>
        <v/>
      </c>
      <c r="P5" s="5" t="n"/>
      <c r="Q5" s="5">
        <f>6*121*(Inputs!D21-2*Inputs!D22+Inputs!D23)</f>
        <v/>
      </c>
      <c r="R5" s="5" t="n"/>
      <c r="S5" s="5">
        <f>R5</f>
        <v/>
      </c>
    </row>
    <row r="6">
      <c r="B6" s="5" t="n">
        <v>0</v>
      </c>
      <c r="C6" s="5" t="n">
        <v>0</v>
      </c>
      <c r="D6" s="5" t="n">
        <v>1</v>
      </c>
      <c r="E6" s="5" t="n">
        <v>4</v>
      </c>
      <c r="F6" s="5" t="n">
        <v>1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M6" s="5">
        <f>6*121*(Inputs!C22-2*Inputs!C23+Inputs!C24)</f>
        <v/>
      </c>
      <c r="N6" s="5" t="n"/>
      <c r="O6" s="5">
        <f>N6</f>
        <v/>
      </c>
      <c r="P6" s="5" t="n"/>
      <c r="Q6" s="5">
        <f>6*121*(Inputs!D22-2*Inputs!D23+Inputs!D24)</f>
        <v/>
      </c>
      <c r="R6" s="5" t="n"/>
      <c r="S6" s="5">
        <f>R6</f>
        <v/>
      </c>
    </row>
    <row r="7">
      <c r="B7" s="5" t="n">
        <v>0</v>
      </c>
      <c r="C7" s="5" t="n">
        <v>0</v>
      </c>
      <c r="D7" s="5" t="n">
        <v>0</v>
      </c>
      <c r="E7" s="5" t="n">
        <v>1</v>
      </c>
      <c r="F7" s="5" t="n">
        <v>4</v>
      </c>
      <c r="G7" s="5" t="n">
        <v>1</v>
      </c>
      <c r="H7" s="5" t="n">
        <v>0</v>
      </c>
      <c r="I7" s="5" t="n">
        <v>0</v>
      </c>
      <c r="J7" s="5" t="n">
        <v>0</v>
      </c>
      <c r="K7" s="5" t="n">
        <v>0</v>
      </c>
      <c r="M7" s="5">
        <f>6*121*(Inputs!C23-2*Inputs!C24+Inputs!C25)</f>
        <v/>
      </c>
      <c r="N7" s="5" t="n"/>
      <c r="O7" s="5">
        <f>N7</f>
        <v/>
      </c>
      <c r="P7" s="5" t="n"/>
      <c r="Q7" s="5">
        <f>6*121*(Inputs!D23-2*Inputs!D24+Inputs!D25)</f>
        <v/>
      </c>
      <c r="R7" s="5" t="n"/>
      <c r="S7" s="5">
        <f>R7</f>
        <v/>
      </c>
    </row>
    <row r="8">
      <c r="B8" s="5" t="n">
        <v>0</v>
      </c>
      <c r="C8" s="5" t="n">
        <v>0</v>
      </c>
      <c r="D8" s="5" t="n">
        <v>0</v>
      </c>
      <c r="E8" s="5" t="n">
        <v>0</v>
      </c>
      <c r="F8" s="5" t="n">
        <v>1</v>
      </c>
      <c r="G8" s="5" t="n">
        <v>4</v>
      </c>
      <c r="H8" s="5" t="n">
        <v>1</v>
      </c>
      <c r="I8" s="5" t="n">
        <v>0</v>
      </c>
      <c r="J8" s="5" t="n">
        <v>0</v>
      </c>
      <c r="K8" s="5" t="n">
        <v>0</v>
      </c>
      <c r="M8" s="5">
        <f>6*121*(Inputs!C24-2*Inputs!C25+Inputs!C26)</f>
        <v/>
      </c>
      <c r="N8" s="5" t="n"/>
      <c r="O8" s="5">
        <f>N8</f>
        <v/>
      </c>
      <c r="P8" s="5" t="n"/>
      <c r="Q8" s="5">
        <f>6*121*(Inputs!D24-2*Inputs!D25+Inputs!D26)</f>
        <v/>
      </c>
      <c r="R8" s="5" t="n"/>
      <c r="S8" s="5">
        <f>R8</f>
        <v/>
      </c>
    </row>
    <row r="9"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1</v>
      </c>
      <c r="H9" s="5" t="n">
        <v>4</v>
      </c>
      <c r="I9" s="5" t="n">
        <v>1</v>
      </c>
      <c r="J9" s="5" t="n">
        <v>0</v>
      </c>
      <c r="K9" s="5" t="n">
        <v>0</v>
      </c>
      <c r="M9" s="5">
        <f>6*121*(Inputs!C25-2*Inputs!C26+Inputs!C27)</f>
        <v/>
      </c>
      <c r="N9" s="5" t="n"/>
      <c r="O9" s="5">
        <f>N9</f>
        <v/>
      </c>
      <c r="P9" s="5" t="n"/>
      <c r="Q9" s="5">
        <f>6*121*(Inputs!D25-2*Inputs!D26+Inputs!D27)</f>
        <v/>
      </c>
      <c r="R9" s="5" t="n"/>
      <c r="S9" s="5">
        <f>R9</f>
        <v/>
      </c>
    </row>
    <row r="10"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1</v>
      </c>
      <c r="I10" s="5" t="n">
        <v>4</v>
      </c>
      <c r="J10" s="5" t="n">
        <v>1</v>
      </c>
      <c r="K10" s="5" t="n">
        <v>0</v>
      </c>
      <c r="M10" s="5">
        <f>6*121*(Inputs!C26-2*Inputs!C27+Inputs!C28)</f>
        <v/>
      </c>
      <c r="N10" s="5" t="n"/>
      <c r="O10" s="5">
        <f>N10</f>
        <v/>
      </c>
      <c r="P10" s="5" t="n"/>
      <c r="Q10" s="5">
        <f>6*121*(Inputs!D26-2*Inputs!D27+Inputs!D28)</f>
        <v/>
      </c>
      <c r="R10" s="5" t="n"/>
      <c r="S10" s="5">
        <f>R10</f>
        <v/>
      </c>
    </row>
    <row r="11"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1</v>
      </c>
      <c r="J11" s="5" t="n">
        <v>4</v>
      </c>
      <c r="K11" s="5" t="n">
        <v>1</v>
      </c>
      <c r="M11" s="5">
        <f>6*121*(Inputs!C27-2*Inputs!C28+Inputs!C29)</f>
        <v/>
      </c>
      <c r="N11" s="5" t="n"/>
      <c r="O11" s="5">
        <f>N11</f>
        <v/>
      </c>
      <c r="P11" s="5" t="n"/>
      <c r="Q11" s="5">
        <f>6*121*(Inputs!D27-2*Inputs!D28+Inputs!D29)</f>
        <v/>
      </c>
      <c r="R11" s="5" t="n"/>
      <c r="S11" s="5">
        <f>R11</f>
        <v/>
      </c>
    </row>
    <row r="12"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1</v>
      </c>
      <c r="K12" s="5" t="n">
        <v>4</v>
      </c>
      <c r="M12" s="5">
        <f>6*121*(Inputs!C28-2*Inputs!C29+Inputs!C30)</f>
        <v/>
      </c>
      <c r="N12" s="5" t="n"/>
      <c r="O12" s="5">
        <f>N12</f>
        <v/>
      </c>
      <c r="P12" s="5" t="n"/>
      <c r="Q12" s="5">
        <f>6*121*(Inputs!D28-2*Inputs!D29+Inputs!D30)</f>
        <v/>
      </c>
      <c r="R12" s="5" t="n"/>
      <c r="S12" s="5">
        <f>R12</f>
        <v/>
      </c>
    </row>
    <row r="13">
      <c r="M13" s="5" t="n"/>
      <c r="N13" s="5" t="n"/>
      <c r="O13" s="5" t="n">
        <v>0</v>
      </c>
      <c r="P13" s="5" t="n"/>
      <c r="Q13" s="5" t="n"/>
      <c r="R13" s="5" t="n"/>
      <c r="S13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2026-10-08T15:11:22Z</dcterms:created>
  <dcterms:modified xsi:type="dcterms:W3CDTF">2026-10-08T15:11:22Z</dcterms:modified>
</cp:coreProperties>
</file>